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Weekly Point Data" sheetId="2" r:id="rId6"/>
    <sheet state="visible" name="Match Generator" sheetId="3" r:id="rId7"/>
    <sheet state="hidden" name="Copy of Match Generator" sheetId="4" r:id="rId8"/>
    <sheet state="visible" name="Scoring Rules" sheetId="5" r:id="rId9"/>
    <sheet state="visible" name="Schedule" sheetId="6" r:id="rId10"/>
    <sheet state="visible" name="Courses" sheetId="7" r:id="rId11"/>
    <sheet state="hidden" name="18" sheetId="8" r:id="rId12"/>
    <sheet state="hidden" name="519 Copy of Match Generator" sheetId="9" r:id="rId13"/>
    <sheet state="hidden" name="0512 Match Generator" sheetId="10" r:id="rId14"/>
    <sheet state="hidden" name="Course Preferences" sheetId="11" r:id="rId15"/>
    <sheet state="hidden" name="Example Leaderboard" sheetId="12" r:id="rId16"/>
    <sheet state="hidden" name="Example Weekly Point Data" sheetId="13" r:id="rId17"/>
    <sheet state="hidden" name="Weekly Points" sheetId="14" r:id="rId18"/>
    <sheet state="hidden" name="Stroke &amp; Putt History" sheetId="15" r:id="rId19"/>
  </sheets>
  <definedNames>
    <definedName hidden="1" localSheetId="0" name="_xlnm._FilterDatabase">Leaderboard!$C$3:$E$14</definedName>
    <definedName hidden="1" localSheetId="1" name="_xlnm._FilterDatabase">'Weekly Point Data'!$A$2:$U$79</definedName>
    <definedName hidden="1" localSheetId="2" name="_xlnm._FilterDatabase">'Match Generator'!$B$36:$E$48</definedName>
    <definedName hidden="1" localSheetId="3" name="_xlnm._FilterDatabase">'Copy of Match Generator'!$B$36:$E$47</definedName>
    <definedName hidden="1" localSheetId="6" name="_xlnm._FilterDatabase">Courses!$B$2:$E$14</definedName>
    <definedName hidden="1" localSheetId="7" name="_xlnm._FilterDatabase">'18'!$A$1:$C$11</definedName>
    <definedName hidden="1" localSheetId="8" name="_xlnm._FilterDatabase">'519 Copy of Match Generator'!$B$35:$E$46</definedName>
    <definedName hidden="1" localSheetId="9" name="_xlnm._FilterDatabase">'0512 Match Generator'!$B$46:$D$57</definedName>
    <definedName hidden="1" localSheetId="10" name="_xlnm._FilterDatabase">'Course Preferences'!$B$18:$E$30</definedName>
    <definedName hidden="1" localSheetId="11" name="_xlnm._FilterDatabase">'Example Leaderboard'!$C$3:$D$15</definedName>
    <definedName hidden="1" localSheetId="12" name="_xlnm._FilterDatabase">'Example Weekly Point Data'!$A$2:$Q$20</definedName>
  </definedNames>
  <calcPr/>
</workbook>
</file>

<file path=xl/sharedStrings.xml><?xml version="1.0" encoding="utf-8"?>
<sst xmlns="http://schemas.openxmlformats.org/spreadsheetml/2006/main" count="1532" uniqueCount="173">
  <si>
    <t xml:space="preserve"> </t>
  </si>
  <si>
    <t>Leaderboard</t>
  </si>
  <si>
    <t>Stats</t>
  </si>
  <si>
    <t>Pos.</t>
  </si>
  <si>
    <t>Golfer</t>
  </si>
  <si>
    <t>Points</t>
  </si>
  <si>
    <t>Behind</t>
  </si>
  <si>
    <t>Weeks Counted</t>
  </si>
  <si>
    <t>Match Wins</t>
  </si>
  <si>
    <t>Match
Losses</t>
  </si>
  <si>
    <t>Match Ties</t>
  </si>
  <si>
    <t>Blank Weeks</t>
  </si>
  <si>
    <t>Avg. Weekly Points</t>
  </si>
  <si>
    <t>Eagles</t>
  </si>
  <si>
    <t>Avg. Score</t>
  </si>
  <si>
    <t>Lowest Score</t>
  </si>
  <si>
    <t>Avg. Putts</t>
  </si>
  <si>
    <t>Lowest
Putts</t>
  </si>
  <si>
    <t>Joey</t>
  </si>
  <si>
    <t>-</t>
  </si>
  <si>
    <t>Bryan</t>
  </si>
  <si>
    <t>Bird</t>
  </si>
  <si>
    <t>Zach</t>
  </si>
  <si>
    <t>Stefan</t>
  </si>
  <si>
    <t>GT</t>
  </si>
  <si>
    <t>Joe</t>
  </si>
  <si>
    <t>Hunter</t>
  </si>
  <si>
    <t>John</t>
  </si>
  <si>
    <t>Jared</t>
  </si>
  <si>
    <t>Brandt</t>
  </si>
  <si>
    <t>Weekly Details</t>
  </si>
  <si>
    <t>Match Details</t>
  </si>
  <si>
    <t>Point Details</t>
  </si>
  <si>
    <t>Total</t>
  </si>
  <si>
    <t>Week</t>
  </si>
  <si>
    <t>Date</t>
  </si>
  <si>
    <t>Course</t>
  </si>
  <si>
    <t>Nine</t>
  </si>
  <si>
    <t>Showed</t>
  </si>
  <si>
    <t>Beers</t>
  </si>
  <si>
    <t>Partner</t>
  </si>
  <si>
    <t>Op #1</t>
  </si>
  <si>
    <t>Op #2</t>
  </si>
  <si>
    <t>HCP</t>
  </si>
  <si>
    <t>Match Result</t>
  </si>
  <si>
    <t>Gross
Score</t>
  </si>
  <si>
    <t>Putts</t>
  </si>
  <si>
    <t>Net 
Score</t>
  </si>
  <si>
    <t>Showing Up Points</t>
  </si>
  <si>
    <t>Match Points</t>
  </si>
  <si>
    <t>Gross Points</t>
  </si>
  <si>
    <t>Net Points</t>
  </si>
  <si>
    <t>Putt Points</t>
  </si>
  <si>
    <t>W07</t>
  </si>
  <si>
    <t>Broken Tee</t>
  </si>
  <si>
    <t>Front</t>
  </si>
  <si>
    <t>unk</t>
  </si>
  <si>
    <t>n/a</t>
  </si>
  <si>
    <t>W06</t>
  </si>
  <si>
    <t>Confirmed</t>
  </si>
  <si>
    <t>Tied</t>
  </si>
  <si>
    <t>No</t>
  </si>
  <si>
    <t>Lost</t>
  </si>
  <si>
    <t>Won</t>
  </si>
  <si>
    <t>W05</t>
  </si>
  <si>
    <t>Fox Hollow</t>
  </si>
  <si>
    <t>Links</t>
  </si>
  <si>
    <t>1v1v1</t>
  </si>
  <si>
    <t xml:space="preserve">Zach </t>
  </si>
  <si>
    <t>W04</t>
  </si>
  <si>
    <t xml:space="preserve">GT </t>
  </si>
  <si>
    <t xml:space="preserve">Bryan </t>
  </si>
  <si>
    <t>W03</t>
  </si>
  <si>
    <t>Overland</t>
  </si>
  <si>
    <t>W02</t>
  </si>
  <si>
    <t>Indian Tree</t>
  </si>
  <si>
    <t>W01</t>
  </si>
  <si>
    <t>d</t>
  </si>
  <si>
    <t>06/22 Weekly Matches
Broken Tee</t>
  </si>
  <si>
    <t>gives:</t>
  </si>
  <si>
    <t>vs.</t>
  </si>
  <si>
    <t>strokes</t>
  </si>
  <si>
    <t>2v2</t>
  </si>
  <si>
    <t>HCP:</t>
  </si>
  <si>
    <t>Strokes:</t>
  </si>
  <si>
    <t>1v1</t>
  </si>
  <si>
    <t>https://wheelofnames.com</t>
  </si>
  <si>
    <t>Group</t>
  </si>
  <si>
    <r>
      <rPr>
        <rFont val="Arial"/>
        <b/>
        <color rgb="FFFFFFFF"/>
        <sz val="20.0"/>
      </rPr>
      <t>06/09</t>
    </r>
    <r>
      <rPr>
        <rFont val="Arial"/>
        <b val="0"/>
        <color rgb="FFFFFFFF"/>
        <sz val="6.0"/>
      </rPr>
      <t>(ha nice)</t>
    </r>
    <r>
      <rPr>
        <rFont val="Arial"/>
        <b/>
        <color rgb="FFFFFFFF"/>
        <sz val="20.0"/>
      </rPr>
      <t xml:space="preserve"> Weekly Matches
Fox Hollow</t>
    </r>
  </si>
  <si>
    <t>Showing Up</t>
  </si>
  <si>
    <t>Rank</t>
  </si>
  <si>
    <t>Gross Strokes</t>
  </si>
  <si>
    <t>Net Strokes</t>
  </si>
  <si>
    <t>No Show</t>
  </si>
  <si>
    <t>Match Play</t>
  </si>
  <si>
    <t>Win</t>
  </si>
  <si>
    <t>Tie</t>
  </si>
  <si>
    <t>6+</t>
  </si>
  <si>
    <t>Loss</t>
  </si>
  <si>
    <t>Time 1</t>
  </si>
  <si>
    <t>Time 2</t>
  </si>
  <si>
    <t>Time 3</t>
  </si>
  <si>
    <t>Fossil Trace</t>
  </si>
  <si>
    <t>Link</t>
  </si>
  <si>
    <t>DCG - Willis Case</t>
  </si>
  <si>
    <t>https://app.membersports.com/tee-times/3629/20573/1</t>
  </si>
  <si>
    <t>https://app.membersports.com/tee-times/3703/20589/0</t>
  </si>
  <si>
    <t>Homestead</t>
  </si>
  <si>
    <t>https://app.membersports.com/tee-times/3807/4902/0</t>
  </si>
  <si>
    <t>https://fossiltrace.cps.golf/onlineresweb/search-teetime?TeeOffTimeMin=0&amp;TeeOffTimeMax=23.999722222222225</t>
  </si>
  <si>
    <t>DCG - Overland</t>
  </si>
  <si>
    <t>https://indiantree.cps.golf/onlineresweb/search-teetime?TeeOffTimeMin=0&amp;TeeOffTimeMax=23</t>
  </si>
  <si>
    <t>West Woods</t>
  </si>
  <si>
    <t>https://www.westwoodsgolf.com/teetimes</t>
  </si>
  <si>
    <t>DCG - City Park</t>
  </si>
  <si>
    <t>https://app.membersports.com/tee-times/3689/4748/0</t>
  </si>
  <si>
    <t>Legacy Ridge</t>
  </si>
  <si>
    <t>https://cityofwestminster.cps.golf/onlineresweb/search-teetime?TeeOffTimeMin=0&amp;TeeOffTimeMax=23</t>
  </si>
  <si>
    <t>Applewood</t>
  </si>
  <si>
    <t>https://apimanager-cc11.clubcaddie.com/webapi/view/hbfdabab/slots?date=05%2F26%2F2026&amp;player=1&amp;ratetype=any&amp;Interaction=aag6k8m9kpkgean2bg6ct6g8vb</t>
  </si>
  <si>
    <t>Hyland Hills</t>
  </si>
  <si>
    <t>https://www.golfhylandhills.com/teetimes/</t>
  </si>
  <si>
    <t>Friends</t>
  </si>
  <si>
    <t>Yes</t>
  </si>
  <si>
    <t>5/19 Weekly Matches
Indian Tree</t>
  </si>
  <si>
    <t>1v1v1 strokes given 
for match play</t>
  </si>
  <si>
    <t>Strokes</t>
  </si>
  <si>
    <t>Team Handicap:</t>
  </si>
  <si>
    <t>no</t>
  </si>
  <si>
    <t>5/12 Weekly Matches</t>
  </si>
  <si>
    <t>A</t>
  </si>
  <si>
    <t>Willis Case</t>
  </si>
  <si>
    <t>Walnut Creet</t>
  </si>
  <si>
    <t>Foothills</t>
  </si>
  <si>
    <t>https://app.membersports.com/tee-times/3697/4758/0</t>
  </si>
  <si>
    <t>GVR</t>
  </si>
  <si>
    <t>https://greenvalleyranch.cps.golf/onlineresweb/search-teetime?TeeOffTimeMin=0&amp;TeeOffTimeMax=23</t>
  </si>
  <si>
    <t>Heather Ridge</t>
  </si>
  <si>
    <t>https://heatherridge.ezlinksgolf.com/index.html#/search</t>
  </si>
  <si>
    <t>Keystone</t>
  </si>
  <si>
    <t>TPC CO</t>
  </si>
  <si>
    <t>The RIdge</t>
  </si>
  <si>
    <t>Bear Dance</t>
  </si>
  <si>
    <t>Breck</t>
  </si>
  <si>
    <t>Red Hawk Ridge</t>
  </si>
  <si>
    <t>City Park</t>
  </si>
  <si>
    <t>Plum Creek</t>
  </si>
  <si>
    <t>Eagle Vail</t>
  </si>
  <si>
    <t>CO National</t>
  </si>
  <si>
    <t>Vail</t>
  </si>
  <si>
    <t>Beaver Creek</t>
  </si>
  <si>
    <t>Haymaker</t>
  </si>
  <si>
    <t>Walnut Creek</t>
  </si>
  <si>
    <t>Kennedy</t>
  </si>
  <si>
    <t>Open?</t>
  </si>
  <si>
    <t>Open</t>
  </si>
  <si>
    <t xml:space="preserve">Example Leaderboard		</t>
  </si>
  <si>
    <t>Bragging Rights</t>
  </si>
  <si>
    <t>No Shows</t>
  </si>
  <si>
    <t>Cal</t>
  </si>
  <si>
    <t>Handi
cap</t>
  </si>
  <si>
    <t>ExW1</t>
  </si>
  <si>
    <t>Handicap</t>
  </si>
  <si>
    <t>ExW2</t>
  </si>
  <si>
    <t>Point
Category</t>
  </si>
  <si>
    <t>Example
Week</t>
  </si>
  <si>
    <t xml:space="preserve">Match Play </t>
  </si>
  <si>
    <t>Totals</t>
  </si>
  <si>
    <t>Week 1
05/05</t>
  </si>
  <si>
    <t>Detail</t>
  </si>
  <si>
    <t>Example Week</t>
  </si>
  <si>
    <t>Gross Score</t>
  </si>
  <si>
    <t>Net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</si>
</sst>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&quot; &quot;mm&quot;/&quot;dd&quot; &quot;"/>
    <numFmt numFmtId="166" formatCode="h:mm am/pm"/>
    <numFmt numFmtId="167" formatCode="ddd&quot;, &quot;mmm&quot; &quot;dd&quot; &quot;"/>
    <numFmt numFmtId="168" formatCode="h&quot;:&quot;mm&quot; &quot;am/pm"/>
  </numFmts>
  <fonts count="2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/>
    <font>
      <b/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rgb="FF000000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000000"/>
      <name val="Arial"/>
    </font>
    <font>
      <color rgb="FFFFFFFF"/>
      <name val="Arial"/>
    </font>
    <font>
      <color rgb="FFE6B8AF"/>
      <name val="Arial"/>
    </font>
    <font>
      <b/>
      <sz val="20.0"/>
      <color rgb="FFFFFFFF"/>
      <name val="Arial"/>
      <scheme val="minor"/>
    </font>
    <font>
      <b/>
      <sz val="11.0"/>
      <color rgb="FFFFFFFF"/>
      <name val="Arial"/>
      <scheme val="minor"/>
    </font>
    <font>
      <sz val="10.0"/>
      <color theme="1"/>
      <name val="Arial"/>
      <scheme val="minor"/>
    </font>
    <font>
      <b/>
      <sz val="16.0"/>
      <color rgb="FFFFFFFF"/>
      <name val="Arial"/>
      <scheme val="minor"/>
    </font>
    <font>
      <b/>
      <sz val="13.0"/>
      <color theme="1"/>
      <name val="Arial"/>
      <scheme val="minor"/>
    </font>
    <font>
      <u/>
      <sz val="10.0"/>
      <color rgb="FF0000FF"/>
    </font>
    <font>
      <color rgb="FFEFEFEF"/>
      <name val="Arial"/>
      <scheme val="minor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sz val="13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5B0F00"/>
        <bgColor rgb="FF5B0F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7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right style="thick">
        <color rgb="FF000000"/>
      </right>
      <bottom style="hair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thin">
        <color rgb="FF000000"/>
      </right>
      <top style="hair">
        <color rgb="FF000000"/>
      </top>
      <bottom style="thick">
        <color rgb="FF000000"/>
      </bottom>
    </border>
    <border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ck">
        <color rgb="FF000000"/>
      </bottom>
    </border>
    <border>
      <right style="thick">
        <color rgb="FF000000"/>
      </right>
      <top style="hair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hair">
        <color rgb="FF000000"/>
      </bottom>
    </border>
    <border>
      <bottom style="hair">
        <color rgb="FF000000"/>
      </bottom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bottom style="dotted">
        <color rgb="FF000000"/>
      </bottom>
    </border>
    <border>
      <left style="dotted">
        <color rgb="FF000000"/>
      </left>
    </border>
    <border>
      <left style="dotted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hair">
        <color rgb="FF000000"/>
      </left>
      <right style="hair">
        <color rgb="FF000000"/>
      </right>
      <bottom style="dotted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right style="thin">
        <color rgb="FF000000"/>
      </righ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9" fillId="3" fontId="4" numFmtId="0" xfId="0" applyAlignment="1" applyBorder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center" readingOrder="0" shrinkToFit="0" vertical="center" wrapText="1"/>
    </xf>
    <xf borderId="10" fillId="3" fontId="4" numFmtId="164" xfId="0" applyAlignment="1" applyBorder="1" applyFont="1" applyNumberFormat="1">
      <alignment horizontal="center" readingOrder="0" shrinkToFit="0" vertical="center" wrapText="1"/>
    </xf>
    <xf borderId="11" fillId="3" fontId="4" numFmtId="164" xfId="0" applyAlignment="1" applyBorder="1" applyFont="1" applyNumberFormat="1">
      <alignment horizontal="center" readingOrder="0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vertical="center"/>
    </xf>
    <xf borderId="13" fillId="0" fontId="5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left" readingOrder="0" vertical="center"/>
    </xf>
    <xf borderId="15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18" fillId="3" fontId="5" numFmtId="0" xfId="0" applyAlignment="1" applyBorder="1" applyFont="1">
      <alignment horizontal="left" readingOrder="0" vertical="center"/>
    </xf>
    <xf borderId="19" fillId="3" fontId="5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20" fillId="3" fontId="5" numFmtId="0" xfId="0" applyAlignment="1" applyBorder="1" applyFont="1">
      <alignment horizontal="center" readingOrder="0" vertical="center"/>
    </xf>
    <xf borderId="19" fillId="3" fontId="5" numFmtId="164" xfId="0" applyAlignment="1" applyBorder="1" applyFont="1" applyNumberForma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21" fillId="3" fontId="5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left" readingOrder="0" vertical="center"/>
    </xf>
    <xf borderId="24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26" fillId="0" fontId="5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27" fillId="0" fontId="5" numFmtId="0" xfId="0" applyAlignment="1" applyBorder="1" applyFont="1">
      <alignment horizontal="center" readingOrder="0" vertical="center"/>
    </xf>
    <xf borderId="28" fillId="0" fontId="6" numFmtId="0" xfId="0" applyAlignment="1" applyBorder="1" applyFont="1">
      <alignment horizontal="left" readingOrder="0" vertical="center"/>
    </xf>
    <xf borderId="29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readingOrder="0" vertical="center"/>
    </xf>
    <xf borderId="32" fillId="3" fontId="5" numFmtId="0" xfId="0" applyAlignment="1" applyBorder="1" applyFont="1">
      <alignment horizontal="left" readingOrder="0" vertical="center"/>
    </xf>
    <xf borderId="33" fillId="3" fontId="5" numFmtId="0" xfId="0" applyAlignment="1" applyBorder="1" applyFont="1">
      <alignment horizontal="center" readingOrder="0" vertical="center"/>
    </xf>
    <xf borderId="34" fillId="3" fontId="5" numFmtId="0" xfId="0" applyAlignment="1" applyBorder="1" applyFont="1">
      <alignment horizontal="center" readingOrder="0" vertical="center"/>
    </xf>
    <xf borderId="35" fillId="3" fontId="5" numFmtId="0" xfId="0" applyAlignment="1" applyBorder="1" applyFont="1">
      <alignment horizontal="center" readingOrder="0" vertical="center"/>
    </xf>
    <xf borderId="33" fillId="3" fontId="5" numFmtId="164" xfId="0" applyAlignment="1" applyBorder="1" applyFont="1" applyNumberFormat="1">
      <alignment horizontal="center" readingOrder="0" vertical="center"/>
    </xf>
    <xf borderId="34" fillId="3" fontId="5" numFmtId="164" xfId="0" applyAlignment="1" applyBorder="1" applyFont="1" applyNumberFormat="1">
      <alignment horizontal="center" readingOrder="0" vertical="center"/>
    </xf>
    <xf borderId="36" fillId="3" fontId="5" numFmtId="0" xfId="0" applyAlignment="1" applyBorder="1" applyFont="1">
      <alignment horizontal="center" readingOrder="0" vertical="center"/>
    </xf>
    <xf borderId="0" fillId="2" fontId="5" numFmtId="164" xfId="0" applyAlignment="1" applyFont="1" applyNumberFormat="1">
      <alignment horizontal="left" readingOrder="0" vertical="center"/>
    </xf>
    <xf borderId="0" fillId="2" fontId="7" numFmtId="0" xfId="0" applyFont="1"/>
    <xf borderId="4" fillId="4" fontId="1" numFmtId="0" xfId="0" applyAlignment="1" applyBorder="1" applyFill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37" fillId="5" fontId="9" numFmtId="0" xfId="0" applyAlignment="1" applyBorder="1" applyFill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shrinkToFit="0" vertical="center" wrapText="1"/>
    </xf>
    <xf borderId="5" fillId="4" fontId="5" numFmtId="165" xfId="0" applyAlignment="1" applyBorder="1" applyFont="1" applyNumberForma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37" fillId="5" fontId="11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shrinkToFit="0" vertical="center" wrapText="1"/>
    </xf>
    <xf borderId="38" fillId="4" fontId="12" numFmtId="0" xfId="0" applyAlignment="1" applyBorder="1" applyFont="1">
      <alignment horizontal="center" readingOrder="0"/>
    </xf>
    <xf borderId="0" fillId="4" fontId="12" numFmtId="165" xfId="0" applyAlignment="1" applyFont="1" applyNumberFormat="1">
      <alignment horizontal="center" readingOrder="0"/>
    </xf>
    <xf borderId="0" fillId="4" fontId="12" numFmtId="0" xfId="0" applyAlignment="1" applyFont="1">
      <alignment horizontal="center" readingOrder="0"/>
    </xf>
    <xf borderId="0" fillId="4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21" fillId="0" fontId="5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/>
    </xf>
    <xf borderId="0" fillId="6" fontId="13" numFmtId="0" xfId="0" applyAlignment="1" applyFill="1" applyFont="1">
      <alignment horizontal="center" readingOrder="0"/>
    </xf>
    <xf borderId="39" fillId="5" fontId="14" numFmtId="0" xfId="0" applyAlignment="1" applyBorder="1" applyFont="1">
      <alignment horizontal="center"/>
    </xf>
    <xf borderId="21" fillId="2" fontId="12" numFmtId="0" xfId="0" applyBorder="1" applyFont="1"/>
    <xf borderId="0" fillId="0" fontId="13" numFmtId="0" xfId="0" applyAlignment="1" applyFont="1">
      <alignment horizontal="center" readingOrder="0"/>
    </xf>
    <xf borderId="39" fillId="5" fontId="14" numFmtId="0" xfId="0" applyAlignment="1" applyBorder="1" applyFont="1">
      <alignment horizontal="center" readingOrder="0"/>
    </xf>
    <xf borderId="38" fillId="0" fontId="5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/>
    </xf>
    <xf borderId="0" fillId="6" fontId="15" numFmtId="0" xfId="0" applyAlignment="1" applyFont="1">
      <alignment horizontal="center"/>
    </xf>
    <xf borderId="0" fillId="4" fontId="12" numFmtId="0" xfId="0" applyAlignment="1" applyFont="1">
      <alignment horizontal="center"/>
    </xf>
    <xf borderId="0" fillId="6" fontId="13" numFmtId="0" xfId="0" applyAlignment="1" applyFont="1">
      <alignment horizontal="center"/>
    </xf>
    <xf borderId="0" fillId="7" fontId="13" numFmtId="0" xfId="0" applyAlignment="1" applyFill="1" applyFont="1">
      <alignment horizontal="center"/>
    </xf>
    <xf borderId="0" fillId="8" fontId="13" numFmtId="0" xfId="0" applyAlignment="1" applyFill="1" applyFont="1">
      <alignment horizontal="center"/>
    </xf>
    <xf borderId="21" fillId="2" fontId="5" numFmtId="0" xfId="0" applyAlignment="1" applyBorder="1" applyFont="1">
      <alignment horizontal="center" vertical="center"/>
    </xf>
    <xf borderId="39" fillId="6" fontId="15" numFmtId="0" xfId="0" applyAlignment="1" applyBorder="1" applyFont="1">
      <alignment horizontal="center"/>
    </xf>
    <xf borderId="0" fillId="8" fontId="12" numFmtId="0" xfId="0" applyAlignment="1" applyFont="1">
      <alignment horizontal="center"/>
    </xf>
    <xf borderId="38" fillId="4" fontId="5" numFmtId="0" xfId="0" applyAlignment="1" applyBorder="1" applyFont="1">
      <alignment horizontal="center" readingOrder="0" vertical="center"/>
    </xf>
    <xf borderId="0" fillId="4" fontId="5" numFmtId="165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39" fillId="5" fontId="11" numFmtId="0" xfId="0" applyAlignment="1" applyBorder="1" applyFont="1">
      <alignment horizontal="center" vertical="center"/>
    </xf>
    <xf borderId="40" fillId="4" fontId="5" numFmtId="0" xfId="0" applyAlignment="1" applyBorder="1" applyFont="1">
      <alignment horizontal="center" readingOrder="0" vertical="center"/>
    </xf>
    <xf borderId="34" fillId="4" fontId="5" numFmtId="165" xfId="0" applyAlignment="1" applyBorder="1" applyFont="1" applyNumberFormat="1">
      <alignment horizontal="center" readingOrder="0" vertical="center"/>
    </xf>
    <xf borderId="34" fillId="4" fontId="5" numFmtId="0" xfId="0" applyAlignment="1" applyBorder="1" applyFont="1">
      <alignment horizontal="center" readingOrder="0" vertical="center"/>
    </xf>
    <xf borderId="40" fillId="0" fontId="5" numFmtId="0" xfId="0" applyAlignment="1" applyBorder="1" applyFont="1">
      <alignment horizontal="center" readingOrder="0" vertical="center"/>
    </xf>
    <xf borderId="34" fillId="0" fontId="5" numFmtId="0" xfId="0" applyAlignment="1" applyBorder="1" applyFont="1">
      <alignment horizontal="center" readingOrder="0" vertical="center"/>
    </xf>
    <xf borderId="36" fillId="0" fontId="5" numFmtId="0" xfId="0" applyAlignment="1" applyBorder="1" applyFont="1">
      <alignment horizontal="center" readingOrder="0" vertical="center"/>
    </xf>
    <xf borderId="34" fillId="0" fontId="10" numFmtId="0" xfId="0" applyAlignment="1" applyBorder="1" applyFont="1">
      <alignment horizontal="center" readingOrder="0" vertical="center"/>
    </xf>
    <xf borderId="41" fillId="5" fontId="11" numFmtId="0" xfId="0" applyAlignment="1" applyBorder="1" applyFont="1">
      <alignment horizontal="center" vertical="center"/>
    </xf>
    <xf borderId="36" fillId="2" fontId="5" numFmtId="0" xfId="0" applyAlignment="1" applyBorder="1" applyFont="1">
      <alignment horizontal="center" vertical="center"/>
    </xf>
    <xf borderId="0" fillId="9" fontId="0" numFmtId="0" xfId="0" applyAlignment="1" applyFill="1" applyFont="1">
      <alignment horizontal="center" readingOrder="0" vertical="center"/>
    </xf>
    <xf borderId="0" fillId="9" fontId="16" numFmtId="0" xfId="0" applyAlignment="1" applyFont="1">
      <alignment horizontal="center" readingOrder="0" vertical="center"/>
    </xf>
    <xf borderId="0" fillId="9" fontId="0" numFmtId="0" xfId="0" applyAlignment="1" applyFont="1">
      <alignment horizontal="center" vertical="center"/>
    </xf>
    <xf borderId="0" fillId="9" fontId="17" numFmtId="0" xfId="0" applyAlignment="1" applyFont="1">
      <alignment horizontal="center" readingOrder="0" vertical="center"/>
    </xf>
    <xf borderId="4" fillId="9" fontId="16" numFmtId="0" xfId="0" applyAlignment="1" applyBorder="1" applyFont="1">
      <alignment horizontal="center" readingOrder="0" vertical="center"/>
    </xf>
    <xf borderId="5" fillId="9" fontId="16" numFmtId="0" xfId="0" applyAlignment="1" applyBorder="1" applyFont="1">
      <alignment horizontal="center" readingOrder="0" vertical="center"/>
    </xf>
    <xf borderId="6" fillId="9" fontId="16" numFmtId="0" xfId="0" applyAlignment="1" applyBorder="1" applyFont="1">
      <alignment horizontal="center" readingOrder="0" vertical="center"/>
    </xf>
    <xf borderId="0" fillId="10" fontId="18" numFmtId="0" xfId="0" applyAlignment="1" applyFill="1" applyFont="1">
      <alignment horizontal="center" readingOrder="0" vertical="center"/>
    </xf>
    <xf borderId="0" fillId="10" fontId="18" numFmtId="0" xfId="0" applyAlignment="1" applyFont="1">
      <alignment horizontal="center" vertical="center"/>
    </xf>
    <xf borderId="0" fillId="10" fontId="5" numFmtId="0" xfId="0" applyFont="1"/>
    <xf borderId="0" fillId="10" fontId="5" numFmtId="166" xfId="0" applyFont="1" applyNumberFormat="1"/>
    <xf borderId="0" fillId="10" fontId="5" numFmtId="0" xfId="0" applyFont="1"/>
    <xf borderId="4" fillId="5" fontId="19" numFmtId="166" xfId="0" applyAlignment="1" applyBorder="1" applyFont="1" applyNumberFormat="1">
      <alignment horizontal="center" readingOrder="0" vertical="center"/>
    </xf>
    <xf borderId="1" fillId="11" fontId="5" numFmtId="0" xfId="0" applyAlignment="1" applyBorder="1" applyFill="1" applyFont="1">
      <alignment horizontal="right" readingOrder="0"/>
    </xf>
    <xf borderId="2" fillId="11" fontId="5" numFmtId="0" xfId="0" applyAlignment="1" applyBorder="1" applyFont="1">
      <alignment horizontal="left" readingOrder="0"/>
    </xf>
    <xf borderId="3" fillId="11" fontId="5" numFmtId="0" xfId="0" applyAlignment="1" applyBorder="1" applyFont="1">
      <alignment horizontal="center"/>
    </xf>
    <xf borderId="0" fillId="10" fontId="5" numFmtId="0" xfId="0" applyAlignment="1" applyFont="1">
      <alignment readingOrder="0"/>
    </xf>
    <xf borderId="42" fillId="12" fontId="20" numFmtId="0" xfId="0" applyAlignment="1" applyBorder="1" applyFill="1" applyFont="1">
      <alignment horizontal="center" readingOrder="0" vertical="center"/>
    </xf>
    <xf borderId="39" fillId="11" fontId="20" numFmtId="0" xfId="0" applyAlignment="1" applyBorder="1" applyFont="1">
      <alignment horizontal="center" readingOrder="0" vertical="center"/>
    </xf>
    <xf borderId="43" fillId="13" fontId="20" numFmtId="0" xfId="0" applyAlignment="1" applyBorder="1" applyFill="1" applyFont="1">
      <alignment horizontal="center" readingOrder="0" vertical="center"/>
    </xf>
    <xf borderId="17" fillId="14" fontId="20" numFmtId="0" xfId="0" applyAlignment="1" applyBorder="1" applyFill="1" applyFont="1">
      <alignment horizontal="center" readingOrder="0" vertical="center"/>
    </xf>
    <xf borderId="38" fillId="11" fontId="5" numFmtId="0" xfId="0" applyAlignment="1" applyBorder="1" applyFont="1">
      <alignment horizontal="right" readingOrder="0"/>
    </xf>
    <xf borderId="0" fillId="11" fontId="5" numFmtId="0" xfId="0" applyAlignment="1" applyFont="1">
      <alignment horizontal="center"/>
    </xf>
    <xf borderId="21" fillId="11" fontId="5" numFmtId="0" xfId="0" applyAlignment="1" applyBorder="1" applyFont="1">
      <alignment horizontal="left" readingOrder="0"/>
    </xf>
    <xf borderId="40" fillId="15" fontId="18" numFmtId="0" xfId="0" applyAlignment="1" applyBorder="1" applyFill="1" applyFont="1">
      <alignment horizontal="center" readingOrder="0" vertical="center"/>
    </xf>
    <xf borderId="41" fillId="0" fontId="3" numFmtId="0" xfId="0" applyBorder="1" applyFont="1"/>
    <xf borderId="34" fillId="7" fontId="18" numFmtId="0" xfId="0" applyAlignment="1" applyBorder="1" applyFont="1">
      <alignment horizontal="center" readingOrder="0" vertical="center"/>
    </xf>
    <xf borderId="36" fillId="8" fontId="18" numFmtId="0" xfId="0" applyAlignment="1" applyBorder="1" applyFont="1">
      <alignment horizontal="center" readingOrder="0" vertical="center"/>
    </xf>
    <xf borderId="40" fillId="11" fontId="5" numFmtId="0" xfId="0" applyAlignment="1" applyBorder="1" applyFont="1">
      <alignment horizontal="right" readingOrder="0"/>
    </xf>
    <xf borderId="34" fillId="11" fontId="5" numFmtId="0" xfId="0" applyAlignment="1" applyBorder="1" applyFont="1">
      <alignment horizontal="center"/>
    </xf>
    <xf borderId="36" fillId="11" fontId="5" numFmtId="0" xfId="0" applyAlignment="1" applyBorder="1" applyFont="1">
      <alignment horizontal="left" readingOrder="0"/>
    </xf>
    <xf borderId="43" fillId="0" fontId="3" numFmtId="0" xfId="0" applyBorder="1" applyFont="1"/>
    <xf borderId="43" fillId="14" fontId="20" numFmtId="0" xfId="0" applyAlignment="1" applyBorder="1" applyFont="1">
      <alignment horizontal="center" readingOrder="0" vertical="center"/>
    </xf>
    <xf borderId="17" fillId="0" fontId="3" numFmtId="0" xfId="0" applyBorder="1" applyFont="1"/>
    <xf borderId="34" fillId="0" fontId="3" numFmtId="0" xfId="0" applyBorder="1" applyFont="1"/>
    <xf borderId="41" fillId="11" fontId="18" numFmtId="0" xfId="0" applyAlignment="1" applyBorder="1" applyFont="1">
      <alignment horizontal="center" readingOrder="0" vertical="center"/>
    </xf>
    <xf borderId="34" fillId="8" fontId="18" numFmtId="0" xfId="0" applyAlignment="1" applyBorder="1" applyFont="1">
      <alignment horizontal="center" readingOrder="0" vertical="center"/>
    </xf>
    <xf borderId="36" fillId="0" fontId="3" numFmtId="0" xfId="0" applyBorder="1" applyFont="1"/>
    <xf borderId="0" fillId="10" fontId="19" numFmtId="0" xfId="0" applyAlignment="1" applyFont="1">
      <alignment horizontal="center" readingOrder="0" vertical="center"/>
    </xf>
    <xf borderId="4" fillId="5" fontId="19" numFmtId="0" xfId="0" applyAlignment="1" applyBorder="1" applyFont="1">
      <alignment horizontal="center" readingOrder="0" vertical="center"/>
    </xf>
    <xf borderId="44" fillId="12" fontId="20" numFmtId="0" xfId="0" applyAlignment="1" applyBorder="1" applyFont="1">
      <alignment horizontal="center" readingOrder="0" vertical="center"/>
    </xf>
    <xf borderId="45" fillId="0" fontId="3" numFmtId="0" xfId="0" applyBorder="1" applyFont="1"/>
    <xf borderId="45" fillId="12" fontId="20" numFmtId="0" xfId="0" applyAlignment="1" applyBorder="1" applyFont="1">
      <alignment horizontal="center" readingOrder="0" vertical="center"/>
    </xf>
    <xf borderId="46" fillId="11" fontId="20" numFmtId="0" xfId="0" applyAlignment="1" applyBorder="1" applyFont="1">
      <alignment horizontal="center" readingOrder="0" vertical="center"/>
    </xf>
    <xf borderId="45" fillId="14" fontId="20" numFmtId="0" xfId="0" applyAlignment="1" applyBorder="1" applyFont="1">
      <alignment horizontal="center" readingOrder="0" vertical="center"/>
    </xf>
    <xf borderId="47" fillId="0" fontId="3" numFmtId="0" xfId="0" applyBorder="1" applyFont="1"/>
    <xf borderId="38" fillId="15" fontId="18" numFmtId="0" xfId="0" applyAlignment="1" applyBorder="1" applyFont="1">
      <alignment horizontal="center" readingOrder="0" vertical="center"/>
    </xf>
    <xf borderId="0" fillId="15" fontId="18" numFmtId="0" xfId="0" applyAlignment="1" applyFont="1">
      <alignment horizontal="center" readingOrder="0" vertical="center"/>
    </xf>
    <xf borderId="48" fillId="15" fontId="18" numFmtId="0" xfId="0" applyAlignment="1" applyBorder="1" applyFont="1">
      <alignment horizontal="center" readingOrder="0" vertical="center"/>
    </xf>
    <xf borderId="46" fillId="0" fontId="3" numFmtId="0" xfId="0" applyBorder="1" applyFont="1"/>
    <xf borderId="0" fillId="8" fontId="18" numFmtId="0" xfId="0" applyAlignment="1" applyFont="1">
      <alignment horizontal="center" readingOrder="0" vertical="center"/>
    </xf>
    <xf borderId="48" fillId="8" fontId="18" numFmtId="0" xfId="0" applyAlignment="1" applyBorder="1" applyFont="1">
      <alignment horizontal="center" readingOrder="0" vertical="center"/>
    </xf>
    <xf borderId="21" fillId="8" fontId="18" numFmtId="0" xfId="0" applyAlignment="1" applyBorder="1" applyFont="1">
      <alignment horizontal="center" readingOrder="0" vertical="center"/>
    </xf>
    <xf borderId="34" fillId="15" fontId="18" numFmtId="0" xfId="0" applyAlignment="1" applyBorder="1" applyFont="1">
      <alignment horizontal="center" readingOrder="0" vertical="center"/>
    </xf>
    <xf borderId="49" fillId="15" fontId="18" numFmtId="0" xfId="0" applyAlignment="1" applyBorder="1" applyFont="1">
      <alignment horizontal="center" readingOrder="0" vertical="center"/>
    </xf>
    <xf borderId="50" fillId="0" fontId="3" numFmtId="0" xfId="0" applyBorder="1" applyFont="1"/>
    <xf borderId="49" fillId="8" fontId="18" numFmtId="0" xfId="0" applyAlignment="1" applyBorder="1" applyFont="1">
      <alignment horizontal="center" readingOrder="0" vertical="center"/>
    </xf>
    <xf borderId="3" fillId="11" fontId="5" numFmtId="0" xfId="0" applyAlignment="1" applyBorder="1" applyFont="1">
      <alignment readingOrder="0"/>
    </xf>
    <xf borderId="0" fillId="0" fontId="18" numFmtId="0" xfId="0" applyAlignment="1" applyFont="1">
      <alignment horizontal="left" readingOrder="0" vertical="center"/>
    </xf>
    <xf borderId="0" fillId="0" fontId="21" numFmtId="0" xfId="0" applyAlignment="1" applyFont="1">
      <alignment horizontal="left" readingOrder="0" vertical="center"/>
    </xf>
    <xf borderId="0" fillId="0" fontId="18" numFmtId="0" xfId="0" applyAlignment="1" applyFont="1">
      <alignment horizontal="center" readingOrder="0" vertical="center"/>
    </xf>
    <xf borderId="0" fillId="10" fontId="5" numFmtId="0" xfId="0" applyAlignment="1" applyFont="1">
      <alignment horizontal="center" readingOrder="0" vertical="center"/>
    </xf>
    <xf borderId="38" fillId="15" fontId="18" numFmtId="0" xfId="0" applyAlignment="1" applyBorder="1" applyFont="1">
      <alignment horizontal="right" readingOrder="0" vertical="center"/>
    </xf>
    <xf borderId="48" fillId="15" fontId="18" numFmtId="0" xfId="0" applyAlignment="1" applyBorder="1" applyFont="1">
      <alignment horizontal="right" readingOrder="0" vertical="center"/>
    </xf>
    <xf borderId="0" fillId="8" fontId="18" numFmtId="0" xfId="0" applyAlignment="1" applyFont="1">
      <alignment horizontal="right" readingOrder="0" vertical="center"/>
    </xf>
    <xf borderId="48" fillId="8" fontId="18" numFmtId="0" xfId="0" applyAlignment="1" applyBorder="1" applyFont="1">
      <alignment horizontal="right" readingOrder="0" vertical="center"/>
    </xf>
    <xf borderId="40" fillId="15" fontId="18" numFmtId="0" xfId="0" applyAlignment="1" applyBorder="1" applyFont="1">
      <alignment horizontal="right" readingOrder="0" vertical="center"/>
    </xf>
    <xf borderId="49" fillId="15" fontId="18" numFmtId="0" xfId="0" applyAlignment="1" applyBorder="1" applyFont="1">
      <alignment horizontal="right" readingOrder="0" vertical="center"/>
    </xf>
    <xf borderId="34" fillId="8" fontId="18" numFmtId="0" xfId="0" applyAlignment="1" applyBorder="1" applyFont="1">
      <alignment horizontal="right" readingOrder="0" vertical="center"/>
    </xf>
    <xf borderId="49" fillId="8" fontId="18" numFmtId="0" xfId="0" applyAlignment="1" applyBorder="1" applyFont="1">
      <alignment horizontal="right" readingOrder="0" vertical="center"/>
    </xf>
    <xf borderId="0" fillId="10" fontId="5" numFmtId="0" xfId="0" applyAlignment="1" applyFont="1">
      <alignment horizontal="right"/>
    </xf>
    <xf borderId="0" fillId="2" fontId="5" numFmtId="0" xfId="0" applyAlignment="1" applyFont="1">
      <alignment horizontal="center" readingOrder="0" shrinkToFit="0" vertical="center" wrapText="1"/>
    </xf>
    <xf borderId="0" fillId="2" fontId="22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right" shrinkToFit="0" vertical="center" wrapText="1"/>
    </xf>
    <xf borderId="51" fillId="4" fontId="5" numFmtId="0" xfId="0" applyAlignment="1" applyBorder="1" applyFont="1">
      <alignment horizontal="center" readingOrder="0" shrinkToFit="0" vertical="center" wrapText="1"/>
    </xf>
    <xf borderId="52" fillId="0" fontId="3" numFmtId="0" xfId="0" applyBorder="1" applyFont="1"/>
    <xf borderId="7" fillId="4" fontId="5" numFmtId="0" xfId="0" applyAlignment="1" applyBorder="1" applyFont="1">
      <alignment horizontal="center" readingOrder="0" shrinkToFit="0" vertical="center" wrapText="1"/>
    </xf>
    <xf borderId="18" fillId="4" fontId="5" numFmtId="0" xfId="0" applyAlignment="1" applyBorder="1" applyFont="1">
      <alignment horizontal="center" readingOrder="0" shrinkToFit="0" vertical="center" wrapText="1"/>
    </xf>
    <xf borderId="21" fillId="7" fontId="5" numFmtId="0" xfId="0" applyAlignment="1" applyBorder="1" applyFont="1">
      <alignment horizontal="center" readingOrder="0" shrinkToFit="0" vertical="center" wrapText="1"/>
    </xf>
    <xf borderId="18" fillId="7" fontId="5" numFmtId="0" xfId="0" applyAlignment="1" applyBorder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32" fillId="4" fontId="5" numFmtId="0" xfId="0" applyAlignment="1" applyBorder="1" applyFont="1">
      <alignment horizontal="center" readingOrder="0" shrinkToFit="0" vertical="center" wrapText="1"/>
    </xf>
    <xf borderId="36" fillId="16" fontId="10" numFmtId="0" xfId="0" applyAlignment="1" applyBorder="1" applyFill="1" applyFont="1">
      <alignment horizontal="center" readingOrder="0" shrinkToFit="0" vertical="center" wrapText="1"/>
    </xf>
    <xf borderId="18" fillId="8" fontId="5" numFmtId="0" xfId="0" applyAlignment="1" applyBorder="1" applyFon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21" fillId="8" fontId="5" numFmtId="0" xfId="0" applyAlignment="1" applyBorder="1" applyFont="1">
      <alignment horizontal="center" readingOrder="0" shrinkToFit="0" vertical="center" wrapText="1"/>
    </xf>
    <xf borderId="18" fillId="17" fontId="5" numFmtId="0" xfId="0" applyAlignment="1" applyBorder="1" applyFill="1" applyFont="1">
      <alignment horizontal="center" readingOrder="0" shrinkToFit="0" vertical="center" wrapText="1"/>
    </xf>
    <xf borderId="0" fillId="17" fontId="5" numFmtId="0" xfId="0" applyAlignment="1" applyFont="1">
      <alignment horizontal="center" readingOrder="0" shrinkToFit="0" vertical="center" wrapText="1"/>
    </xf>
    <xf borderId="21" fillId="17" fontId="5" numFmtId="0" xfId="0" applyAlignment="1" applyBorder="1" applyFont="1">
      <alignment horizontal="center" readingOrder="0" shrinkToFit="0" vertical="center" wrapText="1"/>
    </xf>
    <xf borderId="18" fillId="11" fontId="5" numFmtId="0" xfId="0" applyAlignment="1" applyBorder="1" applyFont="1">
      <alignment horizontal="center"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21" fillId="11" fontId="5" numFmtId="0" xfId="0" applyAlignment="1" applyBorder="1" applyFont="1">
      <alignment horizontal="center" readingOrder="0" shrinkToFit="0" vertical="center" wrapText="1"/>
    </xf>
    <xf borderId="18" fillId="18" fontId="5" numFmtId="0" xfId="0" applyAlignment="1" applyBorder="1" applyFill="1" applyFont="1">
      <alignment horizontal="center" readingOrder="0" shrinkToFit="0" vertical="center" wrapText="1"/>
    </xf>
    <xf borderId="0" fillId="18" fontId="5" numFmtId="0" xfId="0" applyAlignment="1" applyFont="1">
      <alignment horizontal="center" readingOrder="0" shrinkToFit="0" vertical="center" wrapText="1"/>
    </xf>
    <xf borderId="21" fillId="16" fontId="10" numFmtId="0" xfId="0" applyAlignment="1" applyBorder="1" applyFont="1">
      <alignment horizontal="center" readingOrder="0" shrinkToFit="0" vertical="center" wrapText="1"/>
    </xf>
    <xf borderId="32" fillId="16" fontId="10" numFmtId="0" xfId="0" applyAlignment="1" applyBorder="1" applyFont="1">
      <alignment horizontal="center" readingOrder="0" shrinkToFit="0" vertical="center" wrapText="1"/>
    </xf>
    <xf borderId="34" fillId="16" fontId="10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37" fillId="0" fontId="1" numFmtId="167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5" fillId="0" fontId="1" numFmtId="168" xfId="0" applyAlignment="1" applyBorder="1" applyFont="1" applyNumberFormat="1">
      <alignment horizontal="center" readingOrder="0" vertical="center"/>
    </xf>
    <xf borderId="53" fillId="0" fontId="1" numFmtId="168" xfId="0" applyAlignment="1" applyBorder="1" applyFont="1" applyNumberFormat="1">
      <alignment horizontal="center" readingOrder="0" vertical="center"/>
    </xf>
    <xf borderId="6" fillId="0" fontId="1" numFmtId="168" xfId="0" applyAlignment="1" applyBorder="1" applyFont="1" applyNumberFormat="1">
      <alignment horizontal="center" readingOrder="0" vertical="center"/>
    </xf>
    <xf borderId="54" fillId="0" fontId="23" numFmtId="167" xfId="0" applyAlignment="1" applyBorder="1" applyFont="1" applyNumberFormat="1">
      <alignment readingOrder="0"/>
    </xf>
    <xf borderId="55" fillId="0" fontId="23" numFmtId="0" xfId="0" applyAlignment="1" applyBorder="1" applyFont="1">
      <alignment readingOrder="0"/>
    </xf>
    <xf borderId="45" fillId="0" fontId="23" numFmtId="0" xfId="0" applyAlignment="1" applyBorder="1" applyFont="1">
      <alignment horizontal="center" readingOrder="0"/>
    </xf>
    <xf borderId="56" fillId="0" fontId="23" numFmtId="168" xfId="0" applyAlignment="1" applyBorder="1" applyFont="1" applyNumberFormat="1">
      <alignment horizontal="center" readingOrder="0"/>
    </xf>
    <xf borderId="47" fillId="0" fontId="23" numFmtId="168" xfId="0" applyAlignment="1" applyBorder="1" applyFont="1" applyNumberFormat="1">
      <alignment horizontal="center" readingOrder="0"/>
    </xf>
    <xf borderId="57" fillId="0" fontId="23" numFmtId="167" xfId="0" applyAlignment="1" applyBorder="1" applyFont="1" applyNumberFormat="1">
      <alignment readingOrder="0"/>
    </xf>
    <xf borderId="58" fillId="0" fontId="23" numFmtId="0" xfId="0" applyAlignment="1" applyBorder="1" applyFont="1">
      <alignment readingOrder="0"/>
    </xf>
    <xf borderId="59" fillId="0" fontId="23" numFmtId="168" xfId="0" applyAlignment="1" applyBorder="1" applyFont="1" applyNumberFormat="1">
      <alignment horizontal="center" readingOrder="0"/>
    </xf>
    <xf borderId="60" fillId="0" fontId="23" numFmtId="168" xfId="0" applyAlignment="1" applyBorder="1" applyFont="1" applyNumberFormat="1">
      <alignment horizontal="center" readingOrder="0"/>
    </xf>
    <xf borderId="61" fillId="0" fontId="23" numFmtId="168" xfId="0" applyAlignment="1" applyBorder="1" applyFont="1" applyNumberFormat="1">
      <alignment horizontal="center" readingOrder="0"/>
    </xf>
    <xf borderId="59" fillId="0" fontId="23" numFmtId="166" xfId="0" applyAlignment="1" applyBorder="1" applyFont="1" applyNumberFormat="1">
      <alignment horizontal="center" readingOrder="0"/>
    </xf>
    <xf borderId="61" fillId="0" fontId="23" numFmtId="0" xfId="0" applyAlignment="1" applyBorder="1" applyFont="1">
      <alignment horizontal="center" readingOrder="0"/>
    </xf>
    <xf borderId="57" fillId="0" fontId="5" numFmtId="167" xfId="0" applyAlignment="1" applyBorder="1" applyFont="1" applyNumberFormat="1">
      <alignment readingOrder="0"/>
    </xf>
    <xf borderId="58" fillId="0" fontId="5" numFmtId="0" xfId="0" applyAlignment="1" applyBorder="1" applyFont="1">
      <alignment readingOrder="0"/>
    </xf>
    <xf borderId="59" fillId="0" fontId="5" numFmtId="168" xfId="0" applyAlignment="1" applyBorder="1" applyFont="1" applyNumberFormat="1">
      <alignment horizontal="center" readingOrder="0"/>
    </xf>
    <xf borderId="60" fillId="0" fontId="5" numFmtId="168" xfId="0" applyAlignment="1" applyBorder="1" applyFont="1" applyNumberFormat="1">
      <alignment horizontal="center" readingOrder="0"/>
    </xf>
    <xf borderId="61" fillId="0" fontId="5" numFmtId="168" xfId="0" applyAlignment="1" applyBorder="1" applyFont="1" applyNumberFormat="1">
      <alignment horizontal="center" readingOrder="0"/>
    </xf>
    <xf borderId="58" fillId="0" fontId="5" numFmtId="0" xfId="0" applyBorder="1" applyFont="1"/>
    <xf borderId="59" fillId="0" fontId="5" numFmtId="168" xfId="0" applyAlignment="1" applyBorder="1" applyFont="1" applyNumberFormat="1">
      <alignment horizontal="center"/>
    </xf>
    <xf borderId="60" fillId="0" fontId="5" numFmtId="168" xfId="0" applyAlignment="1" applyBorder="1" applyFont="1" applyNumberFormat="1">
      <alignment horizontal="center"/>
    </xf>
    <xf borderId="61" fillId="0" fontId="5" numFmtId="168" xfId="0" applyAlignment="1" applyBorder="1" applyFont="1" applyNumberFormat="1">
      <alignment horizontal="center"/>
    </xf>
    <xf borderId="62" fillId="0" fontId="5" numFmtId="167" xfId="0" applyAlignment="1" applyBorder="1" applyFont="1" applyNumberFormat="1">
      <alignment readingOrder="0"/>
    </xf>
    <xf borderId="63" fillId="0" fontId="5" numFmtId="0" xfId="0" applyBorder="1" applyFont="1"/>
    <xf borderId="64" fillId="0" fontId="5" numFmtId="168" xfId="0" applyAlignment="1" applyBorder="1" applyFont="1" applyNumberFormat="1">
      <alignment horizontal="center"/>
    </xf>
    <xf borderId="65" fillId="0" fontId="5" numFmtId="168" xfId="0" applyAlignment="1" applyBorder="1" applyFont="1" applyNumberFormat="1">
      <alignment horizontal="center"/>
    </xf>
    <xf borderId="66" fillId="0" fontId="5" numFmtId="168" xfId="0" applyAlignment="1" applyBorder="1" applyFont="1" applyNumberFormat="1">
      <alignment horizontal="center"/>
    </xf>
    <xf borderId="0" fillId="10" fontId="18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10" fontId="1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24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0" fontId="5" numFmtId="0" xfId="0" applyAlignment="1" applyFont="1">
      <alignment shrinkToFit="0" wrapText="0"/>
    </xf>
    <xf borderId="0" fillId="0" fontId="5" numFmtId="0" xfId="0" applyAlignment="1" applyFont="1">
      <alignment horizontal="left" readingOrder="0" vertical="center"/>
    </xf>
    <xf borderId="34" fillId="0" fontId="5" numFmtId="0" xfId="0" applyAlignment="1" applyBorder="1" applyFont="1">
      <alignment horizontal="left" readingOrder="0" vertical="center"/>
    </xf>
    <xf borderId="43" fillId="12" fontId="20" numFmtId="0" xfId="0" applyAlignment="1" applyBorder="1" applyFont="1">
      <alignment horizontal="center" readingOrder="0" vertical="center"/>
    </xf>
    <xf borderId="39" fillId="11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right" readingOrder="0"/>
    </xf>
    <xf borderId="2" fillId="3" fontId="5" numFmtId="0" xfId="0" applyAlignment="1" applyBorder="1" applyFont="1">
      <alignment horizontal="left" readingOrder="0"/>
    </xf>
    <xf borderId="3" fillId="3" fontId="5" numFmtId="0" xfId="0" applyAlignment="1" applyBorder="1" applyFont="1">
      <alignment horizontal="center"/>
    </xf>
    <xf borderId="39" fillId="11" fontId="26" numFmtId="0" xfId="0" applyAlignment="1" applyBorder="1" applyFont="1">
      <alignment horizontal="center" readingOrder="0" vertical="center"/>
    </xf>
    <xf borderId="38" fillId="3" fontId="5" numFmtId="0" xfId="0" applyAlignment="1" applyBorder="1" applyFont="1">
      <alignment horizontal="right" readingOrder="0"/>
    </xf>
    <xf borderId="0" fillId="3" fontId="5" numFmtId="0" xfId="0" applyAlignment="1" applyFont="1">
      <alignment horizontal="center"/>
    </xf>
    <xf borderId="21" fillId="3" fontId="5" numFmtId="0" xfId="0" applyAlignment="1" applyBorder="1" applyFont="1">
      <alignment horizontal="left" readingOrder="0"/>
    </xf>
    <xf borderId="3" fillId="3" fontId="5" numFmtId="0" xfId="0" applyAlignment="1" applyBorder="1" applyFont="1">
      <alignment readingOrder="0"/>
    </xf>
    <xf borderId="40" fillId="3" fontId="5" numFmtId="0" xfId="0" applyAlignment="1" applyBorder="1" applyFont="1">
      <alignment horizontal="right" readingOrder="0"/>
    </xf>
    <xf borderId="34" fillId="3" fontId="5" numFmtId="0" xfId="0" applyAlignment="1" applyBorder="1" applyFont="1">
      <alignment horizontal="center"/>
    </xf>
    <xf borderId="36" fillId="3" fontId="5" numFmtId="0" xfId="0" applyAlignment="1" applyBorder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38" fillId="0" fontId="5" numFmtId="0" xfId="0" applyAlignment="1" applyBorder="1" applyFont="1">
      <alignment horizontal="left" readingOrder="0" vertical="center"/>
    </xf>
    <xf borderId="21" fillId="0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center" vertical="center"/>
    </xf>
    <xf borderId="40" fillId="0" fontId="5" numFmtId="0" xfId="0" applyAlignment="1" applyBorder="1" applyFont="1">
      <alignment horizontal="left" readingOrder="0" vertical="center"/>
    </xf>
    <xf borderId="36" fillId="0" fontId="5" numFmtId="0" xfId="0" applyAlignment="1" applyBorder="1" applyFont="1">
      <alignment horizontal="left" readingOrder="0" vertical="center"/>
    </xf>
    <xf borderId="67" fillId="5" fontId="9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0" fillId="4" fontId="5" numFmtId="0" xfId="0" applyAlignment="1" applyBorder="1" applyFont="1">
      <alignment horizontal="center" readingOrder="0" shrinkToFit="0" vertical="center" wrapText="1"/>
    </xf>
    <xf borderId="34" fillId="4" fontId="5" numFmtId="165" xfId="0" applyAlignment="1" applyBorder="1" applyFont="1" applyNumberFormat="1">
      <alignment horizontal="center" readingOrder="0" shrinkToFit="0" vertical="center" wrapText="1"/>
    </xf>
    <xf borderId="34" fillId="4" fontId="5" numFmtId="0" xfId="0" applyAlignment="1" applyBorder="1" applyFont="1">
      <alignment horizontal="center" readingOrder="0" shrinkToFit="0" vertical="center" wrapText="1"/>
    </xf>
    <xf borderId="36" fillId="4" fontId="5" numFmtId="0" xfId="0" applyAlignment="1" applyBorder="1" applyFont="1">
      <alignment horizontal="center" readingOrder="0" shrinkToFit="0" vertical="center" wrapText="1"/>
    </xf>
    <xf borderId="39" fillId="5" fontId="11" numFmtId="0" xfId="0" applyAlignment="1" applyBorder="1" applyFont="1">
      <alignment horizontal="center" readingOrder="0" shrinkToFit="0" vertical="center" wrapText="1"/>
    </xf>
    <xf borderId="21" fillId="2" fontId="5" numFmtId="0" xfId="0" applyAlignment="1" applyBorder="1" applyFont="1">
      <alignment horizontal="center" readingOrder="0" shrinkToFit="0" vertical="center" wrapText="1"/>
    </xf>
    <xf borderId="21" fillId="4" fontId="5" numFmtId="0" xfId="0" applyAlignment="1" applyBorder="1" applyFont="1">
      <alignment horizontal="center" readingOrder="0" vertical="center"/>
    </xf>
    <xf borderId="41" fillId="2" fontId="5" numFmtId="0" xfId="0" applyAlignment="1" applyBorder="1" applyFont="1">
      <alignment horizontal="center" vertical="center"/>
    </xf>
    <xf borderId="68" fillId="3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readingOrder="0" vertical="center"/>
    </xf>
    <xf borderId="69" fillId="3" fontId="1" numFmtId="0" xfId="0" applyAlignment="1" applyBorder="1" applyFont="1">
      <alignment horizontal="center" readingOrder="0" vertical="center"/>
    </xf>
    <xf borderId="70" fillId="0" fontId="5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71" fillId="0" fontId="3" numFmtId="0" xfId="0" applyBorder="1" applyFont="1"/>
    <xf borderId="20" fillId="0" fontId="5" numFmtId="0" xfId="0" applyAlignment="1" applyBorder="1" applyFont="1">
      <alignment horizontal="left" readingOrder="0" vertical="center"/>
    </xf>
    <xf borderId="72" fillId="0" fontId="3" numFmtId="0" xfId="0" applyBorder="1" applyFont="1"/>
    <xf borderId="73" fillId="0" fontId="1" numFmtId="0" xfId="0" applyAlignment="1" applyBorder="1" applyFont="1">
      <alignment horizontal="left" readingOrder="0" vertical="center"/>
    </xf>
    <xf borderId="74" fillId="0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5" numFmtId="0" xfId="0" applyAlignment="1" applyFont="1">
      <alignment horizontal="left" vertical="center"/>
    </xf>
    <xf borderId="0" fillId="2" fontId="4" numFmtId="0" xfId="0" applyAlignment="1" applyFont="1">
      <alignment horizontal="center" readingOrder="0" vertical="center"/>
    </xf>
    <xf borderId="68" fillId="4" fontId="4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2" fontId="18" numFmtId="0" xfId="0" applyAlignment="1" applyFont="1">
      <alignment horizontal="center" readingOrder="0" shrinkToFit="0" vertical="center" wrapText="1"/>
    </xf>
    <xf borderId="0" fillId="2" fontId="18" numFmtId="0" xfId="0" applyAlignment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69" fillId="4" fontId="4" numFmtId="0" xfId="0" applyAlignment="1" applyBorder="1" applyFont="1">
      <alignment horizontal="center" readingOrder="0" shrinkToFit="0" vertical="center" wrapText="1"/>
    </xf>
    <xf borderId="75" fillId="4" fontId="18" numFmtId="0" xfId="0" applyAlignment="1" applyBorder="1" applyFont="1">
      <alignment horizontal="left" readingOrder="0" vertical="center"/>
    </xf>
    <xf borderId="76" fillId="4" fontId="18" numFmtId="0" xfId="0" applyAlignment="1" applyBorder="1" applyFont="1">
      <alignment horizontal="center" readingOrder="0" vertical="center"/>
    </xf>
    <xf borderId="52" fillId="4" fontId="18" numFmtId="0" xfId="0" applyAlignment="1" applyBorder="1" applyFont="1">
      <alignment horizontal="center" readingOrder="0" vertical="center"/>
    </xf>
    <xf borderId="20" fillId="4" fontId="18" numFmtId="0" xfId="0" applyAlignment="1" applyBorder="1" applyFont="1">
      <alignment horizontal="left" readingOrder="0" vertical="center"/>
    </xf>
    <xf borderId="0" fillId="6" fontId="18" numFmtId="0" xfId="0" applyAlignment="1" applyFont="1">
      <alignment horizontal="center" readingOrder="0" vertical="center"/>
    </xf>
    <xf borderId="21" fillId="6" fontId="18" numFmtId="0" xfId="0" applyAlignment="1" applyBorder="1" applyFont="1">
      <alignment horizontal="center" readingOrder="0" vertical="center"/>
    </xf>
    <xf borderId="0" fillId="6" fontId="18" numFmtId="0" xfId="0" applyAlignment="1" applyFont="1">
      <alignment horizontal="center" vertical="center"/>
    </xf>
    <xf borderId="21" fillId="6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readingOrder="0" vertical="center"/>
    </xf>
    <xf borderId="34" fillId="6" fontId="18" numFmtId="0" xfId="0" applyAlignment="1" applyBorder="1" applyFont="1">
      <alignment horizontal="center" readingOrder="0" vertical="center"/>
    </xf>
    <xf borderId="36" fillId="6" fontId="18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1"/>
    </xf>
    <xf borderId="0" fillId="2" fontId="18" numFmtId="0" xfId="0" applyAlignment="1" applyFont="1">
      <alignment horizontal="left" vertical="center"/>
    </xf>
    <xf borderId="76" fillId="0" fontId="5" numFmtId="0" xfId="0" applyBorder="1" applyFont="1"/>
    <xf borderId="52" fillId="0" fontId="5" numFmtId="0" xfId="0" applyBorder="1" applyFont="1"/>
    <xf borderId="0" fillId="0" fontId="5" numFmtId="0" xfId="0" applyFont="1"/>
    <xf borderId="21" fillId="0" fontId="5" numFmtId="0" xfId="0" applyBorder="1" applyFont="1"/>
    <xf borderId="21" fillId="0" fontId="5" numFmtId="0" xfId="0" applyBorder="1" applyFont="1"/>
    <xf borderId="34" fillId="0" fontId="5" numFmtId="0" xfId="0" applyBorder="1" applyFont="1"/>
    <xf borderId="36" fillId="0" fontId="5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E6B8AF"/>
      </font>
      <fill>
        <patternFill patternType="solid">
          <fgColor rgb="FF5B0F00"/>
          <bgColor rgb="FF5B0F00"/>
        </patternFill>
      </fill>
      <border/>
    </dxf>
    <dxf>
      <font/>
      <fill>
        <patternFill patternType="solid">
          <fgColor rgb="FF5B0F00"/>
          <bgColor rgb="FF5B0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heelofnames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heelofnames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apimanager-cc11.clubcaddie.com/webapi/view/hbfdabab/slots?date=05%2F26%2F2026&amp;player=1&amp;ratetype=any&amp;Interaction=aag6k8m9kpkgean2bg6ct6g8vb" TargetMode="External"/><Relationship Id="rId10" Type="http://schemas.openxmlformats.org/officeDocument/2006/relationships/hyperlink" Target="https://cityofwestminster.cps.golf/onlineresweb/search-teetime?TeeOffTimeMin=0&amp;TeeOffTimeMax=23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www.golfhylandhills.com/teetimes/" TargetMode="External"/><Relationship Id="rId1" Type="http://schemas.openxmlformats.org/officeDocument/2006/relationships/hyperlink" Target="https://app.membersports.com/tee-times/3629/20573/1" TargetMode="External"/><Relationship Id="rId2" Type="http://schemas.openxmlformats.org/officeDocument/2006/relationships/hyperlink" Target="https://app.membersports.com/tee-times/3703/20589/0" TargetMode="External"/><Relationship Id="rId3" Type="http://schemas.openxmlformats.org/officeDocument/2006/relationships/hyperlink" Target="https://app.membersports.com/tee-times/3807/4902/0" TargetMode="External"/><Relationship Id="rId4" Type="http://schemas.openxmlformats.org/officeDocument/2006/relationships/hyperlink" Target="https://fossiltrace.cps.golf/onlineresweb/search-teetime?TeeOffTimeMin=0&amp;TeeOffTimeMax=23.999722222222225" TargetMode="External"/><Relationship Id="rId9" Type="http://schemas.openxmlformats.org/officeDocument/2006/relationships/hyperlink" Target="https://app.membersports.com/tee-times/3689/4748/0" TargetMode="External"/><Relationship Id="rId5" Type="http://schemas.openxmlformats.org/officeDocument/2006/relationships/hyperlink" Target="https://app.membersports.com/tee-times/3629/20573/1" TargetMode="External"/><Relationship Id="rId6" Type="http://schemas.openxmlformats.org/officeDocument/2006/relationships/hyperlink" Target="https://indiantree.cps.golf/onlineresweb/search-teetime?TeeOffTimeMin=0&amp;TeeOffTimeMax=23" TargetMode="External"/><Relationship Id="rId7" Type="http://schemas.openxmlformats.org/officeDocument/2006/relationships/hyperlink" Target="https://www.westwoodsgolf.com/teetimes" TargetMode="External"/><Relationship Id="rId8" Type="http://schemas.openxmlformats.org/officeDocument/2006/relationships/hyperlink" Target="https://app.membersports.com/tee-times/3629/20573/1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heelofnames.com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membersports.com/tee-times/3807/4902/0" TargetMode="External"/><Relationship Id="rId10" Type="http://schemas.openxmlformats.org/officeDocument/2006/relationships/hyperlink" Target="https://heatherridge.ezlinksgolf.com/index.html" TargetMode="External"/><Relationship Id="rId12" Type="http://schemas.openxmlformats.org/officeDocument/2006/relationships/drawing" Target="../drawings/drawing10.xml"/><Relationship Id="rId1" Type="http://schemas.openxmlformats.org/officeDocument/2006/relationships/hyperlink" Target="https://wheelofnames.com/" TargetMode="External"/><Relationship Id="rId2" Type="http://schemas.openxmlformats.org/officeDocument/2006/relationships/hyperlink" Target="https://indiantree.cps.golf/onlineresweb/search-teetime?TeeOffTimeMin=0&amp;TeeOffTimeMax=23" TargetMode="External"/><Relationship Id="rId3" Type="http://schemas.openxmlformats.org/officeDocument/2006/relationships/hyperlink" Target="https://app.membersports.com/tee-times/3703/20589/0" TargetMode="External"/><Relationship Id="rId4" Type="http://schemas.openxmlformats.org/officeDocument/2006/relationships/hyperlink" Target="https://app.membersports.com/tee-times/3629/20573/1" TargetMode="External"/><Relationship Id="rId9" Type="http://schemas.openxmlformats.org/officeDocument/2006/relationships/hyperlink" Target="https://greenvalleyranch.cps.golf/onlineresweb/search-teetime?TeeOffTimeMin=0&amp;TeeOffTimeMax=23" TargetMode="External"/><Relationship Id="rId5" Type="http://schemas.openxmlformats.org/officeDocument/2006/relationships/hyperlink" Target="https://fossiltrace.cps.golf/onlineresweb/search-teetime?TeeOffTimeMin=0&amp;TeeOffTimeMax=23.999722222222225" TargetMode="External"/><Relationship Id="rId6" Type="http://schemas.openxmlformats.org/officeDocument/2006/relationships/hyperlink" Target="https://cityofwestminster.cps.golf/onlineresweb/search-teetime?TeeOffTimeMin=0&amp;TeeOffTimeMax=23" TargetMode="External"/><Relationship Id="rId7" Type="http://schemas.openxmlformats.org/officeDocument/2006/relationships/hyperlink" Target="https://cityofwestminster.cps.golf/onlineresweb/search-teetime?TeeOffTimeMin=0&amp;TeeOffTimeMax=23" TargetMode="External"/><Relationship Id="rId8" Type="http://schemas.openxmlformats.org/officeDocument/2006/relationships/hyperlink" Target="https://app.membersports.com/tee-times/3697/4758/0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apimanager-cc11.clubcaddie.com/webapi/view/hbfdabab/slots?date=05%2F26%2F2026&amp;player=1&amp;ratetype=any&amp;Interaction=aag6k8m9kpkgean2bg6ct6g8vb" TargetMode="External"/><Relationship Id="rId10" Type="http://schemas.openxmlformats.org/officeDocument/2006/relationships/hyperlink" Target="https://cityofwestminster.cps.golf/onlineresweb/search-teetime?TeeOffTimeMin=0&amp;TeeOffTimeMax=23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www.golfhylandhills.com/teetimes/" TargetMode="External"/><Relationship Id="rId1" Type="http://schemas.openxmlformats.org/officeDocument/2006/relationships/hyperlink" Target="https://app.membersports.com/tee-times/3629/20573/1" TargetMode="External"/><Relationship Id="rId2" Type="http://schemas.openxmlformats.org/officeDocument/2006/relationships/hyperlink" Target="https://app.membersports.com/tee-times/3703/20589/0" TargetMode="External"/><Relationship Id="rId3" Type="http://schemas.openxmlformats.org/officeDocument/2006/relationships/hyperlink" Target="https://app.membersports.com/tee-times/3807/4902/0" TargetMode="External"/><Relationship Id="rId4" Type="http://schemas.openxmlformats.org/officeDocument/2006/relationships/hyperlink" Target="https://fossiltrace.cps.golf/onlineresweb/search-teetime?TeeOffTimeMin=0&amp;TeeOffTimeMax=23.999722222222225" TargetMode="External"/><Relationship Id="rId9" Type="http://schemas.openxmlformats.org/officeDocument/2006/relationships/hyperlink" Target="https://app.membersports.com/tee-times/3689/4748/0" TargetMode="External"/><Relationship Id="rId5" Type="http://schemas.openxmlformats.org/officeDocument/2006/relationships/hyperlink" Target="https://app.membersports.com/tee-times/3629/20573/1" TargetMode="External"/><Relationship Id="rId6" Type="http://schemas.openxmlformats.org/officeDocument/2006/relationships/hyperlink" Target="https://indiantree.cps.golf/onlineresweb/search-teetime?TeeOffTimeMin=0&amp;TeeOffTimeMax=23" TargetMode="External"/><Relationship Id="rId7" Type="http://schemas.openxmlformats.org/officeDocument/2006/relationships/hyperlink" Target="https://www.westwoodsgolf.com/teetimes" TargetMode="External"/><Relationship Id="rId8" Type="http://schemas.openxmlformats.org/officeDocument/2006/relationships/hyperlink" Target="https://app.membersports.com/tee-times/3629/20573/1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88"/>
    <col customWidth="1" min="2" max="2" width="5.63"/>
    <col customWidth="1" min="3" max="3" width="8.38"/>
    <col customWidth="1" min="4" max="4" width="8.63"/>
    <col customWidth="1" min="5" max="5" width="9.13"/>
    <col customWidth="1" min="6" max="6" width="7.88"/>
    <col customWidth="1" min="7" max="7" width="2.13"/>
    <col collapsed="1" customWidth="1" min="8" max="8" width="6.13"/>
    <col customWidth="1" hidden="1" min="9" max="9" width="5.88" outlineLevel="1"/>
    <col customWidth="1" hidden="1" min="10" max="10" width="6.75" outlineLevel="1"/>
    <col customWidth="1" hidden="1" min="11" max="11" width="5.88" outlineLevel="1"/>
    <col customWidth="1" min="12" max="12" width="6.25"/>
    <col customWidth="1" min="13" max="13" width="10.75"/>
    <col customWidth="1" min="14" max="14" width="6.25"/>
    <col customWidth="1" min="15" max="15" width="5.63"/>
    <col customWidth="1" min="16" max="16" width="6.75"/>
    <col customWidth="1" min="17" max="17" width="5.13"/>
    <col customWidth="1" min="18" max="18" width="6.88"/>
    <col customWidth="1" min="19" max="19" width="1.63"/>
  </cols>
  <sheetData>
    <row r="1" ht="16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2"/>
      <c r="P1" s="1"/>
      <c r="Q1" s="2"/>
      <c r="R1" s="1"/>
      <c r="S1" s="1"/>
    </row>
    <row r="2">
      <c r="A2" s="1"/>
      <c r="B2" s="3" t="s">
        <v>1</v>
      </c>
      <c r="C2" s="4"/>
      <c r="D2" s="4"/>
      <c r="E2" s="4"/>
      <c r="F2" s="5"/>
      <c r="G2" s="1"/>
      <c r="H2" s="6" t="s">
        <v>2</v>
      </c>
      <c r="I2" s="7"/>
      <c r="J2" s="7"/>
      <c r="K2" s="7"/>
      <c r="L2" s="7"/>
      <c r="M2" s="7"/>
      <c r="N2" s="7"/>
      <c r="O2" s="7"/>
      <c r="P2" s="7"/>
      <c r="Q2" s="7"/>
      <c r="R2" s="8"/>
      <c r="S2" s="1"/>
    </row>
    <row r="3">
      <c r="A3" s="9"/>
      <c r="B3" s="10" t="s">
        <v>3</v>
      </c>
      <c r="C3" s="11" t="s">
        <v>4</v>
      </c>
      <c r="D3" s="11" t="s">
        <v>5</v>
      </c>
      <c r="E3" s="12" t="s">
        <v>6</v>
      </c>
      <c r="F3" s="13" t="s">
        <v>7</v>
      </c>
      <c r="G3" s="9"/>
      <c r="H3" s="14" t="s">
        <v>4</v>
      </c>
      <c r="I3" s="15" t="s">
        <v>8</v>
      </c>
      <c r="J3" s="16" t="s">
        <v>9</v>
      </c>
      <c r="K3" s="16" t="s">
        <v>10</v>
      </c>
      <c r="L3" s="15" t="s">
        <v>11</v>
      </c>
      <c r="M3" s="17" t="s">
        <v>12</v>
      </c>
      <c r="N3" s="15" t="s">
        <v>13</v>
      </c>
      <c r="O3" s="17" t="s">
        <v>14</v>
      </c>
      <c r="P3" s="16" t="s">
        <v>15</v>
      </c>
      <c r="Q3" s="18" t="s">
        <v>16</v>
      </c>
      <c r="R3" s="19" t="s">
        <v>17</v>
      </c>
      <c r="S3" s="9"/>
    </row>
    <row r="4">
      <c r="A4" s="20"/>
      <c r="B4" s="21">
        <v>1.0</v>
      </c>
      <c r="C4" s="22" t="s">
        <v>18</v>
      </c>
      <c r="D4" s="23">
        <f>SUMIF('Weekly Point Data'!$E:$E, C4, 'Weekly Point Data'!$U:$U)</f>
        <v>80</v>
      </c>
      <c r="E4" s="24">
        <f t="shared" ref="E4:E14" si="1">D4-$D$4</f>
        <v>0</v>
      </c>
      <c r="F4" s="25">
        <f>COUNTIFS('Weekly Point Data'!F:F,"Confirmed",'Weekly Point Data'!E:E,C4)</f>
        <v>5</v>
      </c>
      <c r="G4" s="26"/>
      <c r="H4" s="27" t="str">
        <f t="shared" ref="H4:H14" si="2">C4</f>
        <v>Joey</v>
      </c>
      <c r="I4" s="28">
        <f>COUNTIFS('Weekly Point Data'!L:L,"Won",'Weekly Point Data'!E:E,H4)</f>
        <v>2</v>
      </c>
      <c r="J4" s="29">
        <f>COUNTIFS('Weekly Point Data'!L:L,"Lost",'Weekly Point Data'!E:E,H4)</f>
        <v>2</v>
      </c>
      <c r="K4" s="30">
        <f>COUNTIFS('Weekly Point Data'!L:L,"Tied",'Weekly Point Data'!E:E,H4)</f>
        <v>1</v>
      </c>
      <c r="L4" s="28">
        <f>COUNTIFS('Weekly Point Data'!F:F,"No",'Weekly Point Data'!E:E,H4)</f>
        <v>1</v>
      </c>
      <c r="M4" s="31">
        <f>AVERAGEIFS('Weekly Point Data'!U:U,'Weekly Point Data'!E:E,H4,'Weekly Point Data'!U:U,"&gt;0")</f>
        <v>16</v>
      </c>
      <c r="N4" s="28" t="s">
        <v>19</v>
      </c>
      <c r="O4" s="31">
        <f>AVERAGEIFS('Weekly Point Data'!M:M,'Weekly Point Data'!E:E,H4)</f>
        <v>42.4</v>
      </c>
      <c r="P4" s="29">
        <f>MINIFS('Weekly Point Data'!M:M,'Weekly Point Data'!E:E,H4)</f>
        <v>40</v>
      </c>
      <c r="Q4" s="32">
        <f>AVERAGEIFS('Weekly Point Data'!N:N,'Weekly Point Data'!E:E,H4)</f>
        <v>17.2</v>
      </c>
      <c r="R4" s="33">
        <f>MINIFS('Weekly Point Data'!N:N,'Weekly Point Data'!E:E,H4)</f>
        <v>15</v>
      </c>
      <c r="S4" s="20"/>
    </row>
    <row r="5">
      <c r="A5" s="20"/>
      <c r="B5" s="34">
        <v>2.0</v>
      </c>
      <c r="C5" s="35" t="s">
        <v>20</v>
      </c>
      <c r="D5" s="36">
        <f>SUMIF('Weekly Point Data'!$E:$E, C5, 'Weekly Point Data'!$U:$U)</f>
        <v>76</v>
      </c>
      <c r="E5" s="37">
        <f t="shared" si="1"/>
        <v>-4</v>
      </c>
      <c r="F5" s="38">
        <f>COUNTIFS('Weekly Point Data'!F:F,"Confirmed",'Weekly Point Data'!E:E,C5)</f>
        <v>5</v>
      </c>
      <c r="G5" s="39"/>
      <c r="H5" s="27" t="str">
        <f t="shared" si="2"/>
        <v>Bryan</v>
      </c>
      <c r="I5" s="28">
        <f>COUNTIFS('Weekly Point Data'!L:L,"Won",'Weekly Point Data'!E:E,H5)</f>
        <v>1</v>
      </c>
      <c r="J5" s="29">
        <f>COUNTIFS('Weekly Point Data'!L:L,"Lost",'Weekly Point Data'!E:E,H5)</f>
        <v>2</v>
      </c>
      <c r="K5" s="30">
        <f>COUNTIFS('Weekly Point Data'!L:L,"Tied",'Weekly Point Data'!E:E,H5)</f>
        <v>2</v>
      </c>
      <c r="L5" s="28">
        <f>COUNTIFS('Weekly Point Data'!F:F,"No",'Weekly Point Data'!E:E,H5)</f>
        <v>1</v>
      </c>
      <c r="M5" s="31">
        <f>AVERAGEIFS('Weekly Point Data'!U:U,'Weekly Point Data'!E:E,H5,'Weekly Point Data'!U:U,"&gt;0")</f>
        <v>15.2</v>
      </c>
      <c r="N5" s="28" t="s">
        <v>19</v>
      </c>
      <c r="O5" s="31">
        <f>AVERAGEIFS('Weekly Point Data'!M:M,'Weekly Point Data'!E:E,H5)</f>
        <v>42.4</v>
      </c>
      <c r="P5" s="29">
        <f>MINIFS('Weekly Point Data'!M:M,'Weekly Point Data'!E:E,H5)</f>
        <v>39</v>
      </c>
      <c r="Q5" s="32">
        <f>AVERAGEIFS('Weekly Point Data'!N:N,'Weekly Point Data'!E:E,H5)</f>
        <v>17.6</v>
      </c>
      <c r="R5" s="33">
        <f>MINIFS('Weekly Point Data'!N:N,'Weekly Point Data'!E:E,H5)</f>
        <v>16</v>
      </c>
      <c r="S5" s="20"/>
    </row>
    <row r="6">
      <c r="A6" s="20"/>
      <c r="B6" s="34">
        <v>3.0</v>
      </c>
      <c r="C6" s="35" t="s">
        <v>21</v>
      </c>
      <c r="D6" s="36">
        <f>SUMIF('Weekly Point Data'!$E:$E, C6, 'Weekly Point Data'!$U:$U)</f>
        <v>73</v>
      </c>
      <c r="E6" s="37">
        <f t="shared" si="1"/>
        <v>-7</v>
      </c>
      <c r="F6" s="38">
        <f>COUNTIFS('Weekly Point Data'!F:F,"Confirmed",'Weekly Point Data'!E:E,C6)</f>
        <v>5</v>
      </c>
      <c r="G6" s="39"/>
      <c r="H6" s="27" t="str">
        <f t="shared" si="2"/>
        <v>Bird</v>
      </c>
      <c r="I6" s="28">
        <f>COUNTIFS('Weekly Point Data'!L:L,"Won",'Weekly Point Data'!E:E,H6)</f>
        <v>4</v>
      </c>
      <c r="J6" s="29">
        <f>COUNTIFS('Weekly Point Data'!L:L,"Lost",'Weekly Point Data'!E:E,H6)</f>
        <v>0</v>
      </c>
      <c r="K6" s="30">
        <f>COUNTIFS('Weekly Point Data'!L:L,"Tied",'Weekly Point Data'!E:E,H6)</f>
        <v>1</v>
      </c>
      <c r="L6" s="28">
        <f>COUNTIFS('Weekly Point Data'!F:F,"No",'Weekly Point Data'!E:E,H6)</f>
        <v>1</v>
      </c>
      <c r="M6" s="31">
        <f>AVERAGEIFS('Weekly Point Data'!U:U,'Weekly Point Data'!E:E,H6,'Weekly Point Data'!U:U,"&gt;0")</f>
        <v>14.6</v>
      </c>
      <c r="N6" s="28" t="s">
        <v>19</v>
      </c>
      <c r="O6" s="31">
        <f>AVERAGEIFS('Weekly Point Data'!M:M,'Weekly Point Data'!E:E,H6)</f>
        <v>44.2</v>
      </c>
      <c r="P6" s="29">
        <f>MINIFS('Weekly Point Data'!M:M,'Weekly Point Data'!E:E,H6)</f>
        <v>42</v>
      </c>
      <c r="Q6" s="32">
        <f>AVERAGEIFS('Weekly Point Data'!N:N,'Weekly Point Data'!E:E,H6)</f>
        <v>19.4</v>
      </c>
      <c r="R6" s="33">
        <f>MINIFS('Weekly Point Data'!N:N,'Weekly Point Data'!E:E,H6)</f>
        <v>18</v>
      </c>
      <c r="S6" s="20"/>
    </row>
    <row r="7">
      <c r="A7" s="20"/>
      <c r="B7" s="34">
        <v>4.0</v>
      </c>
      <c r="C7" s="35" t="s">
        <v>22</v>
      </c>
      <c r="D7" s="36">
        <f>SUMIF('Weekly Point Data'!$E:$E, C7, 'Weekly Point Data'!$U:$U)</f>
        <v>72</v>
      </c>
      <c r="E7" s="37">
        <f t="shared" si="1"/>
        <v>-8</v>
      </c>
      <c r="F7" s="38">
        <f>COUNTIFS('Weekly Point Data'!F:F,"Confirmed",'Weekly Point Data'!E:E,C7)</f>
        <v>6</v>
      </c>
      <c r="G7" s="39"/>
      <c r="H7" s="27" t="str">
        <f t="shared" si="2"/>
        <v>Zach</v>
      </c>
      <c r="I7" s="28">
        <f>COUNTIFS('Weekly Point Data'!L:L,"Won",'Weekly Point Data'!E:E,H7)</f>
        <v>1</v>
      </c>
      <c r="J7" s="29">
        <f>COUNTIFS('Weekly Point Data'!L:L,"Lost",'Weekly Point Data'!E:E,H7)</f>
        <v>3</v>
      </c>
      <c r="K7" s="30">
        <f>COUNTIFS('Weekly Point Data'!L:L,"Tied",'Weekly Point Data'!E:E,H7)</f>
        <v>2</v>
      </c>
      <c r="L7" s="28">
        <f>COUNTIFS('Weekly Point Data'!F:F,"No",'Weekly Point Data'!E:E,H7)</f>
        <v>0</v>
      </c>
      <c r="M7" s="31">
        <f>AVERAGEIFS('Weekly Point Data'!U:U,'Weekly Point Data'!E:E,H7,'Weekly Point Data'!U:U,"&gt;0")</f>
        <v>12</v>
      </c>
      <c r="N7" s="28">
        <v>1.0</v>
      </c>
      <c r="O7" s="31">
        <f>AVERAGEIFS('Weekly Point Data'!M:M,'Weekly Point Data'!E:E,H7)</f>
        <v>47.5</v>
      </c>
      <c r="P7" s="29">
        <f>MINIFS('Weekly Point Data'!M:M,'Weekly Point Data'!E:E,H7)</f>
        <v>40</v>
      </c>
      <c r="Q7" s="32">
        <f>AVERAGEIFS('Weekly Point Data'!N:N,'Weekly Point Data'!E:E,H7)</f>
        <v>16.66666667</v>
      </c>
      <c r="R7" s="33">
        <f>MINIFS('Weekly Point Data'!N:N,'Weekly Point Data'!E:E,H7)</f>
        <v>13</v>
      </c>
      <c r="S7" s="20"/>
    </row>
    <row r="8">
      <c r="A8" s="20"/>
      <c r="B8" s="34">
        <v>5.0</v>
      </c>
      <c r="C8" s="35" t="s">
        <v>23</v>
      </c>
      <c r="D8" s="36">
        <f>SUMIF('Weekly Point Data'!$E:$E, C8, 'Weekly Point Data'!$U:$U)</f>
        <v>66</v>
      </c>
      <c r="E8" s="37">
        <f t="shared" si="1"/>
        <v>-14</v>
      </c>
      <c r="F8" s="38">
        <f>COUNTIFS('Weekly Point Data'!F:F,"Confirmed",'Weekly Point Data'!E:E,C8)</f>
        <v>4</v>
      </c>
      <c r="G8" s="39"/>
      <c r="H8" s="27" t="str">
        <f t="shared" si="2"/>
        <v>Stefan</v>
      </c>
      <c r="I8" s="28">
        <f>COUNTIFS('Weekly Point Data'!L:L,"Won",'Weekly Point Data'!E:E,H8)</f>
        <v>2</v>
      </c>
      <c r="J8" s="29">
        <f>COUNTIFS('Weekly Point Data'!L:L,"Lost",'Weekly Point Data'!E:E,H8)</f>
        <v>1</v>
      </c>
      <c r="K8" s="30">
        <f>COUNTIFS('Weekly Point Data'!L:L,"Tied",'Weekly Point Data'!E:E,H8)</f>
        <v>1</v>
      </c>
      <c r="L8" s="28">
        <f>COUNTIFS('Weekly Point Data'!F:F,"No",'Weekly Point Data'!E:E,H8)</f>
        <v>2</v>
      </c>
      <c r="M8" s="31">
        <f>AVERAGEIFS('Weekly Point Data'!U:U,'Weekly Point Data'!E:E,H8,'Weekly Point Data'!U:U,"&gt;0")</f>
        <v>16.5</v>
      </c>
      <c r="N8" s="28" t="s">
        <v>19</v>
      </c>
      <c r="O8" s="31">
        <f>AVERAGEIFS('Weekly Point Data'!M:M,'Weekly Point Data'!E:E,H8)</f>
        <v>42.25</v>
      </c>
      <c r="P8" s="29">
        <f>MINIFS('Weekly Point Data'!M:M,'Weekly Point Data'!E:E,H8)</f>
        <v>41</v>
      </c>
      <c r="Q8" s="32">
        <f>AVERAGEIFS('Weekly Point Data'!N:N,'Weekly Point Data'!E:E,H8)</f>
        <v>16.5</v>
      </c>
      <c r="R8" s="33">
        <f>MINIFS('Weekly Point Data'!N:N,'Weekly Point Data'!E:E,H8)</f>
        <v>16</v>
      </c>
      <c r="S8" s="20"/>
    </row>
    <row r="9">
      <c r="A9" s="20"/>
      <c r="B9" s="34">
        <v>6.0</v>
      </c>
      <c r="C9" s="35" t="s">
        <v>24</v>
      </c>
      <c r="D9" s="36">
        <f>SUMIF('Weekly Point Data'!$E:$E, C9, 'Weekly Point Data'!$U:$U)</f>
        <v>63</v>
      </c>
      <c r="E9" s="37">
        <f t="shared" si="1"/>
        <v>-17</v>
      </c>
      <c r="F9" s="38">
        <f>COUNTIFS('Weekly Point Data'!F:F,"Confirmed",'Weekly Point Data'!E:E,C9)</f>
        <v>5</v>
      </c>
      <c r="G9" s="39"/>
      <c r="H9" s="27" t="str">
        <f t="shared" si="2"/>
        <v>GT</v>
      </c>
      <c r="I9" s="28">
        <f>COUNTIFS('Weekly Point Data'!L:L,"Won",'Weekly Point Data'!E:E,H9)</f>
        <v>2</v>
      </c>
      <c r="J9" s="29">
        <f>COUNTIFS('Weekly Point Data'!L:L,"Lost",'Weekly Point Data'!E:E,H9)</f>
        <v>3</v>
      </c>
      <c r="K9" s="30">
        <f>COUNTIFS('Weekly Point Data'!L:L,"Tied",'Weekly Point Data'!E:E,H9)</f>
        <v>0</v>
      </c>
      <c r="L9" s="28">
        <f>COUNTIFS('Weekly Point Data'!F:F,"No",'Weekly Point Data'!E:E,H9)</f>
        <v>1</v>
      </c>
      <c r="M9" s="31">
        <f>AVERAGEIFS('Weekly Point Data'!U:U,'Weekly Point Data'!E:E,H9,'Weekly Point Data'!U:U,"&gt;0")</f>
        <v>12.6</v>
      </c>
      <c r="N9" s="28" t="s">
        <v>19</v>
      </c>
      <c r="O9" s="31">
        <f>AVERAGEIFS('Weekly Point Data'!M:M,'Weekly Point Data'!E:E,H9)</f>
        <v>44</v>
      </c>
      <c r="P9" s="29">
        <f>MINIFS('Weekly Point Data'!M:M,'Weekly Point Data'!E:E,H9)</f>
        <v>40</v>
      </c>
      <c r="Q9" s="32">
        <f>AVERAGEIFS('Weekly Point Data'!N:N,'Weekly Point Data'!E:E,H9)</f>
        <v>17.4</v>
      </c>
      <c r="R9" s="33">
        <f>MINIFS('Weekly Point Data'!N:N,'Weekly Point Data'!E:E,H9)</f>
        <v>15</v>
      </c>
      <c r="S9" s="20"/>
    </row>
    <row r="10">
      <c r="A10" s="20"/>
      <c r="B10" s="34">
        <v>7.0</v>
      </c>
      <c r="C10" s="35" t="s">
        <v>25</v>
      </c>
      <c r="D10" s="36">
        <f>SUMIF('Weekly Point Data'!$E:$E, C10, 'Weekly Point Data'!$U:$U)</f>
        <v>61</v>
      </c>
      <c r="E10" s="37">
        <f t="shared" si="1"/>
        <v>-19</v>
      </c>
      <c r="F10" s="38">
        <f>COUNTIFS('Weekly Point Data'!F:F,"Confirmed",'Weekly Point Data'!E:E,C10)</f>
        <v>5</v>
      </c>
      <c r="G10" s="39"/>
      <c r="H10" s="27" t="str">
        <f t="shared" si="2"/>
        <v>Joe</v>
      </c>
      <c r="I10" s="28">
        <f>COUNTIFS('Weekly Point Data'!L:L,"Won",'Weekly Point Data'!E:E,H10)</f>
        <v>1</v>
      </c>
      <c r="J10" s="29">
        <f>COUNTIFS('Weekly Point Data'!L:L,"Lost",'Weekly Point Data'!E:E,H10)</f>
        <v>2</v>
      </c>
      <c r="K10" s="30">
        <f>COUNTIFS('Weekly Point Data'!L:L,"Tied",'Weekly Point Data'!E:E,H10)</f>
        <v>2</v>
      </c>
      <c r="L10" s="28">
        <f>COUNTIFS('Weekly Point Data'!F:F,"No",'Weekly Point Data'!E:E,H10)</f>
        <v>1</v>
      </c>
      <c r="M10" s="31">
        <f>AVERAGEIFS('Weekly Point Data'!U:U,'Weekly Point Data'!E:E,H10,'Weekly Point Data'!U:U,"&gt;0")</f>
        <v>12.2</v>
      </c>
      <c r="N10" s="28" t="s">
        <v>19</v>
      </c>
      <c r="O10" s="31">
        <f>AVERAGEIFS('Weekly Point Data'!M:M,'Weekly Point Data'!E:E,H10)</f>
        <v>47</v>
      </c>
      <c r="P10" s="29">
        <f>MINIFS('Weekly Point Data'!M:M,'Weekly Point Data'!E:E,H10)</f>
        <v>42</v>
      </c>
      <c r="Q10" s="32">
        <f>AVERAGEIFS('Weekly Point Data'!N:N,'Weekly Point Data'!E:E,H10)</f>
        <v>16.8</v>
      </c>
      <c r="R10" s="33">
        <f>MINIFS('Weekly Point Data'!N:N,'Weekly Point Data'!E:E,H10)</f>
        <v>13</v>
      </c>
      <c r="S10" s="20"/>
    </row>
    <row r="11">
      <c r="A11" s="20"/>
      <c r="B11" s="34">
        <v>8.0</v>
      </c>
      <c r="C11" s="35" t="s">
        <v>26</v>
      </c>
      <c r="D11" s="36">
        <f>SUMIF('Weekly Point Data'!$E:$E, C11, 'Weekly Point Data'!$U:$U)</f>
        <v>25</v>
      </c>
      <c r="E11" s="37">
        <f t="shared" si="1"/>
        <v>-55</v>
      </c>
      <c r="F11" s="38">
        <f>COUNTIFS('Weekly Point Data'!F:F,"Confirmed",'Weekly Point Data'!E:E,C11)</f>
        <v>4</v>
      </c>
      <c r="G11" s="39"/>
      <c r="H11" s="27" t="str">
        <f t="shared" si="2"/>
        <v>Hunter</v>
      </c>
      <c r="I11" s="28">
        <f>COUNTIFS('Weekly Point Data'!L:L,"Won",'Weekly Point Data'!E:E,H11)</f>
        <v>1</v>
      </c>
      <c r="J11" s="29">
        <f>COUNTIFS('Weekly Point Data'!L:L,"Lost",'Weekly Point Data'!E:E,H11)</f>
        <v>3</v>
      </c>
      <c r="K11" s="30">
        <f>COUNTIFS('Weekly Point Data'!L:L,"Tied",'Weekly Point Data'!E:E,H11)</f>
        <v>0</v>
      </c>
      <c r="L11" s="28">
        <f>COUNTIFS('Weekly Point Data'!F:F,"No",'Weekly Point Data'!E:E,H11)</f>
        <v>2</v>
      </c>
      <c r="M11" s="31">
        <f>AVERAGEIFS('Weekly Point Data'!U:U,'Weekly Point Data'!E:E,H11,'Weekly Point Data'!U:U,"&gt;0")</f>
        <v>6.25</v>
      </c>
      <c r="N11" s="28" t="s">
        <v>19</v>
      </c>
      <c r="O11" s="31">
        <f>AVERAGEIFS('Weekly Point Data'!M:M,'Weekly Point Data'!E:E,H11)</f>
        <v>55.25</v>
      </c>
      <c r="P11" s="29">
        <f>MINIFS('Weekly Point Data'!M:M,'Weekly Point Data'!E:E,H11)</f>
        <v>54</v>
      </c>
      <c r="Q11" s="32">
        <f>AVERAGEIFS('Weekly Point Data'!N:N,'Weekly Point Data'!E:E,H11)</f>
        <v>17.25</v>
      </c>
      <c r="R11" s="33">
        <f>MINIFS('Weekly Point Data'!N:N,'Weekly Point Data'!E:E,H11)</f>
        <v>14</v>
      </c>
      <c r="S11" s="20"/>
    </row>
    <row r="12">
      <c r="A12" s="20"/>
      <c r="B12" s="34">
        <v>9.0</v>
      </c>
      <c r="C12" s="35" t="s">
        <v>27</v>
      </c>
      <c r="D12" s="36">
        <f>SUMIF('Weekly Point Data'!$E:$E, C12, 'Weekly Point Data'!$U:$U)</f>
        <v>20</v>
      </c>
      <c r="E12" s="37">
        <f t="shared" si="1"/>
        <v>-60</v>
      </c>
      <c r="F12" s="38">
        <f>COUNTIFS('Weekly Point Data'!F:F,"Confirmed",'Weekly Point Data'!E:E,C12)</f>
        <v>4</v>
      </c>
      <c r="G12" s="39"/>
      <c r="H12" s="27" t="str">
        <f t="shared" si="2"/>
        <v>John</v>
      </c>
      <c r="I12" s="28">
        <f>COUNTIFS('Weekly Point Data'!L:L,"Won",'Weekly Point Data'!E:E,H12)</f>
        <v>0</v>
      </c>
      <c r="J12" s="29">
        <f>COUNTIFS('Weekly Point Data'!L:L,"Lost",'Weekly Point Data'!E:E,H12)</f>
        <v>3</v>
      </c>
      <c r="K12" s="30">
        <f>COUNTIFS('Weekly Point Data'!L:L,"Tied",'Weekly Point Data'!E:E,H12)</f>
        <v>1</v>
      </c>
      <c r="L12" s="28">
        <f>COUNTIFS('Weekly Point Data'!F:F,"No",'Weekly Point Data'!E:E,H12)</f>
        <v>2</v>
      </c>
      <c r="M12" s="31">
        <f>AVERAGEIFS('Weekly Point Data'!U:U,'Weekly Point Data'!E:E,H12,'Weekly Point Data'!U:U,"&gt;0")</f>
        <v>5</v>
      </c>
      <c r="N12" s="28" t="s">
        <v>19</v>
      </c>
      <c r="O12" s="31">
        <f>AVERAGEIFS('Weekly Point Data'!M:M,'Weekly Point Data'!E:E,H12)</f>
        <v>57.75</v>
      </c>
      <c r="P12" s="29">
        <f>MINIFS('Weekly Point Data'!M:M,'Weekly Point Data'!E:E,H12)</f>
        <v>54</v>
      </c>
      <c r="Q12" s="32">
        <f>AVERAGEIFS('Weekly Point Data'!N:N,'Weekly Point Data'!E:E,H12)</f>
        <v>13.5</v>
      </c>
      <c r="R12" s="33">
        <f>MINIFS('Weekly Point Data'!N:N,'Weekly Point Data'!E:E,H12)</f>
        <v>0</v>
      </c>
      <c r="S12" s="20"/>
    </row>
    <row r="13">
      <c r="A13" s="20"/>
      <c r="B13" s="34">
        <v>10.0</v>
      </c>
      <c r="C13" s="35" t="s">
        <v>28</v>
      </c>
      <c r="D13" s="36">
        <f>SUMIF('Weekly Point Data'!$E:$E, C13, 'Weekly Point Data'!$U:$U)</f>
        <v>16</v>
      </c>
      <c r="E13" s="37">
        <f t="shared" si="1"/>
        <v>-64</v>
      </c>
      <c r="F13" s="38">
        <f>COUNTIFS('Weekly Point Data'!F:F,"Confirmed",'Weekly Point Data'!E:E,C13)</f>
        <v>2</v>
      </c>
      <c r="G13" s="39"/>
      <c r="H13" s="27" t="str">
        <f t="shared" si="2"/>
        <v>Jared</v>
      </c>
      <c r="I13" s="28">
        <f>COUNTIFS('Weekly Point Data'!L:L,"Won",'Weekly Point Data'!E:E,H13)</f>
        <v>0</v>
      </c>
      <c r="J13" s="29">
        <f>COUNTIFS('Weekly Point Data'!L:L,"Lost",'Weekly Point Data'!E:E,H13)</f>
        <v>0</v>
      </c>
      <c r="K13" s="30">
        <f>COUNTIFS('Weekly Point Data'!L:L,"Tied",'Weekly Point Data'!E:E,H13)</f>
        <v>2</v>
      </c>
      <c r="L13" s="28">
        <f>COUNTIFS('Weekly Point Data'!F:F,"No",'Weekly Point Data'!E:E,H13)</f>
        <v>4</v>
      </c>
      <c r="M13" s="31">
        <f>AVERAGEIFS('Weekly Point Data'!U:U,'Weekly Point Data'!E:E,H13,'Weekly Point Data'!U:U,"&gt;0")</f>
        <v>8</v>
      </c>
      <c r="N13" s="28" t="s">
        <v>19</v>
      </c>
      <c r="O13" s="31">
        <f>AVERAGEIFS('Weekly Point Data'!M:M,'Weekly Point Data'!E:E,H13)</f>
        <v>55</v>
      </c>
      <c r="P13" s="29">
        <f>MINIFS('Weekly Point Data'!M:M,'Weekly Point Data'!E:E,H13)</f>
        <v>52</v>
      </c>
      <c r="Q13" s="32">
        <f>AVERAGEIFS('Weekly Point Data'!N:N,'Weekly Point Data'!E:E,H13)</f>
        <v>19</v>
      </c>
      <c r="R13" s="33">
        <f>MINIFS('Weekly Point Data'!N:N,'Weekly Point Data'!E:E,H13)</f>
        <v>18</v>
      </c>
      <c r="S13" s="20"/>
    </row>
    <row r="14">
      <c r="A14" s="20"/>
      <c r="B14" s="40">
        <v>11.0</v>
      </c>
      <c r="C14" s="41" t="s">
        <v>29</v>
      </c>
      <c r="D14" s="42">
        <f>SUMIF('Weekly Point Data'!$E:$E, C14, 'Weekly Point Data'!$U:$U)</f>
        <v>13</v>
      </c>
      <c r="E14" s="43">
        <f t="shared" si="1"/>
        <v>-67</v>
      </c>
      <c r="F14" s="44">
        <f>COUNTIFS('Weekly Point Data'!F:F,"Confirmed",'Weekly Point Data'!E:E,C14)</f>
        <v>2</v>
      </c>
      <c r="G14" s="39"/>
      <c r="H14" s="45" t="str">
        <f t="shared" si="2"/>
        <v>Brandt</v>
      </c>
      <c r="I14" s="46">
        <f>COUNTIFS('Weekly Point Data'!L:L,"Won",'Weekly Point Data'!E:E,H14)</f>
        <v>0</v>
      </c>
      <c r="J14" s="47">
        <f>COUNTIFS('Weekly Point Data'!L:L,"Lost",'Weekly Point Data'!E:E,H14)</f>
        <v>1</v>
      </c>
      <c r="K14" s="48">
        <f>COUNTIFS('Weekly Point Data'!L:L,"Tied",'Weekly Point Data'!E:E,H14)</f>
        <v>1</v>
      </c>
      <c r="L14" s="46">
        <f>COUNTIFS('Weekly Point Data'!F:F,"No",'Weekly Point Data'!E:E,H14)</f>
        <v>4</v>
      </c>
      <c r="M14" s="49">
        <f>AVERAGEIFS('Weekly Point Data'!U:U,'Weekly Point Data'!E:E,H14,'Weekly Point Data'!U:U,"&gt;0")</f>
        <v>6.5</v>
      </c>
      <c r="N14" s="46" t="s">
        <v>19</v>
      </c>
      <c r="O14" s="49">
        <f>AVERAGEIFS('Weekly Point Data'!M:M,'Weekly Point Data'!E:E,H14)</f>
        <v>50</v>
      </c>
      <c r="P14" s="47">
        <f>MINIFS('Weekly Point Data'!M:M,'Weekly Point Data'!E:E,H14)</f>
        <v>49</v>
      </c>
      <c r="Q14" s="50">
        <f>AVERAGEIFS('Weekly Point Data'!N:N,'Weekly Point Data'!E:E,H14)</f>
        <v>8</v>
      </c>
      <c r="R14" s="51">
        <f>MINIFS('Weekly Point Data'!N:N,'Weekly Point Data'!E:E,H14)</f>
        <v>0</v>
      </c>
      <c r="S14" s="20"/>
    </row>
    <row r="15" ht="21.75" customHeight="1">
      <c r="A15" s="20"/>
      <c r="B15" s="26"/>
      <c r="C15" s="20"/>
      <c r="D15" s="39"/>
      <c r="E15" s="39"/>
      <c r="F15" s="39"/>
      <c r="G15" s="39"/>
      <c r="H15" s="20"/>
      <c r="I15" s="20"/>
      <c r="J15" s="20"/>
      <c r="K15" s="20"/>
      <c r="L15" s="20" t="s">
        <v>0</v>
      </c>
      <c r="M15" s="52"/>
      <c r="N15" s="20"/>
      <c r="O15" s="52"/>
      <c r="P15" s="20"/>
      <c r="Q15" s="52"/>
      <c r="R15" s="20"/>
      <c r="S15" s="20"/>
    </row>
    <row r="16" ht="21.75" customHeight="1">
      <c r="A16" s="20"/>
      <c r="B16" s="26"/>
      <c r="C16" s="20"/>
      <c r="D16" s="39"/>
      <c r="E16" s="39"/>
      <c r="F16" s="39"/>
      <c r="G16" s="39"/>
      <c r="H16" s="53"/>
      <c r="I16" s="20"/>
      <c r="J16" s="20"/>
      <c r="K16" s="20"/>
      <c r="L16" s="20"/>
      <c r="M16" s="52"/>
      <c r="N16" s="20"/>
      <c r="O16" s="52"/>
      <c r="P16" s="20"/>
      <c r="Q16" s="52"/>
      <c r="R16" s="20"/>
      <c r="S16" s="20"/>
    </row>
    <row r="17" ht="21.75" customHeight="1">
      <c r="A17" s="20"/>
      <c r="B17" s="26"/>
      <c r="C17" s="20"/>
      <c r="D17" s="39"/>
      <c r="E17" s="39"/>
      <c r="F17" s="39"/>
      <c r="G17" s="39"/>
      <c r="H17" s="20"/>
      <c r="I17" s="20"/>
      <c r="J17" s="20"/>
      <c r="K17" s="20"/>
      <c r="L17" s="20"/>
      <c r="M17" s="52"/>
      <c r="N17" s="20"/>
      <c r="O17" s="52"/>
      <c r="P17" s="20"/>
      <c r="Q17" s="52"/>
      <c r="R17" s="20"/>
      <c r="S17" s="20"/>
    </row>
  </sheetData>
  <autoFilter ref="$C$3:$E$14">
    <sortState ref="C3:E14">
      <sortCondition descending="1" ref="D3:D14"/>
      <sortCondition descending="1" ref="C3:C14"/>
    </sortState>
  </autoFilter>
  <mergeCells count="2">
    <mergeCell ref="B2:F2"/>
    <mergeCell ref="H2:R2"/>
  </mergeCells>
  <conditionalFormatting sqref="E5:E17 G5:G17 F15:F17">
    <cfRule type="colorScale" priority="1">
      <colorScale>
        <cfvo type="min"/>
        <cfvo type="percentile" val="50"/>
        <cfvo type="max"/>
        <color rgb="FFE6B8AF"/>
        <color rgb="FFFCE5CD"/>
        <color rgb="FFFFF2CC"/>
      </colorScale>
    </cfRule>
  </conditionalFormatting>
  <conditionalFormatting sqref="D4:D17">
    <cfRule type="colorScale" priority="2">
      <colorScale>
        <cfvo type="min"/>
        <cfvo type="max"/>
        <color rgb="FFFFFFFF"/>
        <color rgb="FF93C47D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7.88"/>
    <col customWidth="1" min="2" max="2" width="7.13"/>
    <col customWidth="1" min="3" max="3" width="10.0"/>
    <col customWidth="1" min="4" max="5" width="8.5"/>
    <col customWidth="1" min="6" max="6" width="13.75"/>
    <col customWidth="1" min="7" max="7" width="8.13"/>
    <col customWidth="1" min="8" max="8" width="9.38"/>
    <col customWidth="1" min="9" max="10" width="8.13"/>
    <col customWidth="1" min="11" max="12" width="9.25"/>
    <col customWidth="1" min="13" max="13" width="8.38"/>
    <col customWidth="1" min="14" max="14" width="7.63"/>
    <col customWidth="1" min="15" max="15" width="8.25"/>
    <col customWidth="1" min="16" max="16" width="11.25"/>
    <col customWidth="1" min="17" max="20" width="8.63"/>
    <col customWidth="1" min="21" max="21" width="8.88"/>
    <col customWidth="1" min="22" max="22" width="3.25"/>
  </cols>
  <sheetData>
    <row r="1">
      <c r="A1" s="54" t="s">
        <v>30</v>
      </c>
      <c r="B1" s="7"/>
      <c r="C1" s="7"/>
      <c r="D1" s="7"/>
      <c r="E1" s="8"/>
      <c r="F1" s="54" t="s">
        <v>31</v>
      </c>
      <c r="G1" s="7"/>
      <c r="H1" s="7"/>
      <c r="I1" s="7"/>
      <c r="J1" s="7"/>
      <c r="K1" s="7"/>
      <c r="L1" s="7"/>
      <c r="M1" s="7"/>
      <c r="N1" s="7"/>
      <c r="O1" s="8"/>
      <c r="P1" s="55" t="s">
        <v>32</v>
      </c>
      <c r="Q1" s="7"/>
      <c r="R1" s="7"/>
      <c r="S1" s="7"/>
      <c r="T1" s="8"/>
      <c r="U1" s="56" t="s">
        <v>33</v>
      </c>
      <c r="V1" s="57"/>
    </row>
    <row r="2">
      <c r="A2" s="58" t="s">
        <v>34</v>
      </c>
      <c r="B2" s="59" t="s">
        <v>35</v>
      </c>
      <c r="C2" s="60" t="s">
        <v>36</v>
      </c>
      <c r="D2" s="60" t="s">
        <v>37</v>
      </c>
      <c r="E2" s="60" t="s">
        <v>4</v>
      </c>
      <c r="F2" s="58" t="s">
        <v>38</v>
      </c>
      <c r="G2" s="60" t="s">
        <v>39</v>
      </c>
      <c r="H2" s="60" t="s">
        <v>40</v>
      </c>
      <c r="I2" s="60" t="s">
        <v>41</v>
      </c>
      <c r="J2" s="60" t="s">
        <v>42</v>
      </c>
      <c r="K2" s="60" t="s">
        <v>43</v>
      </c>
      <c r="L2" s="60" t="s">
        <v>44</v>
      </c>
      <c r="M2" s="60" t="s">
        <v>45</v>
      </c>
      <c r="N2" s="60" t="s">
        <v>46</v>
      </c>
      <c r="O2" s="61" t="s">
        <v>47</v>
      </c>
      <c r="P2" s="62" t="s">
        <v>48</v>
      </c>
      <c r="Q2" s="62" t="s">
        <v>49</v>
      </c>
      <c r="R2" s="62" t="s">
        <v>50</v>
      </c>
      <c r="S2" s="62" t="s">
        <v>51</v>
      </c>
      <c r="T2" s="62" t="s">
        <v>52</v>
      </c>
      <c r="U2" s="63" t="s">
        <v>5</v>
      </c>
      <c r="V2" s="64"/>
    </row>
    <row r="3">
      <c r="A3" s="65" t="s">
        <v>53</v>
      </c>
      <c r="B3" s="66">
        <v>46195.0</v>
      </c>
      <c r="C3" s="67" t="s">
        <v>54</v>
      </c>
      <c r="D3" s="68" t="s">
        <v>55</v>
      </c>
      <c r="E3" s="68" t="s">
        <v>21</v>
      </c>
      <c r="F3" s="69" t="s">
        <v>56</v>
      </c>
      <c r="G3" s="69" t="s">
        <v>19</v>
      </c>
      <c r="H3" s="69"/>
      <c r="I3" s="70"/>
      <c r="J3" s="70"/>
      <c r="K3" s="69"/>
      <c r="L3" s="70" t="s">
        <v>57</v>
      </c>
      <c r="M3" s="70"/>
      <c r="N3" s="70"/>
      <c r="O3" s="71">
        <f t="shared" ref="O3:O15" si="1">M3-ROUNDUP(K3/2,0)</f>
        <v>0</v>
      </c>
      <c r="P3" s="72">
        <f t="shared" ref="P3:P15" si="2">IFS(F3="Yes",3,F3="No",0,F3="Confirmed",3,F3="unk",0)</f>
        <v>0</v>
      </c>
      <c r="Q3" s="72">
        <f t="shared" ref="Q3:Q15" si="3">IFS(L3="Tied",2,L3="Won",5,L3="Lost",0,L3="n/a",0)</f>
        <v>0</v>
      </c>
      <c r="R3" s="73"/>
      <c r="S3" s="73"/>
      <c r="T3" s="73"/>
      <c r="U3" s="74">
        <f t="shared" ref="U3:U15" si="4">SUM(P3:T3)</f>
        <v>0</v>
      </c>
      <c r="V3" s="75"/>
    </row>
    <row r="4">
      <c r="A4" s="65" t="s">
        <v>53</v>
      </c>
      <c r="B4" s="66">
        <v>46195.0</v>
      </c>
      <c r="C4" s="67" t="s">
        <v>54</v>
      </c>
      <c r="D4" s="68" t="s">
        <v>55</v>
      </c>
      <c r="E4" s="68" t="s">
        <v>29</v>
      </c>
      <c r="F4" s="69" t="s">
        <v>56</v>
      </c>
      <c r="G4" s="69" t="s">
        <v>19</v>
      </c>
      <c r="H4" s="69"/>
      <c r="I4" s="70"/>
      <c r="J4" s="70"/>
      <c r="K4" s="69"/>
      <c r="L4" s="70" t="s">
        <v>57</v>
      </c>
      <c r="M4" s="70"/>
      <c r="N4" s="70"/>
      <c r="O4" s="71">
        <f t="shared" si="1"/>
        <v>0</v>
      </c>
      <c r="P4" s="72">
        <f t="shared" si="2"/>
        <v>0</v>
      </c>
      <c r="Q4" s="72">
        <f t="shared" si="3"/>
        <v>0</v>
      </c>
      <c r="R4" s="73"/>
      <c r="S4" s="73"/>
      <c r="T4" s="73"/>
      <c r="U4" s="74">
        <f t="shared" si="4"/>
        <v>0</v>
      </c>
      <c r="V4" s="75"/>
    </row>
    <row r="5">
      <c r="A5" s="65" t="s">
        <v>53</v>
      </c>
      <c r="B5" s="66">
        <v>46195.0</v>
      </c>
      <c r="C5" s="67" t="s">
        <v>54</v>
      </c>
      <c r="D5" s="68" t="s">
        <v>55</v>
      </c>
      <c r="E5" s="68" t="s">
        <v>20</v>
      </c>
      <c r="F5" s="69" t="s">
        <v>56</v>
      </c>
      <c r="G5" s="69" t="s">
        <v>19</v>
      </c>
      <c r="H5" s="69"/>
      <c r="I5" s="70"/>
      <c r="J5" s="70"/>
      <c r="K5" s="69"/>
      <c r="L5" s="70" t="s">
        <v>57</v>
      </c>
      <c r="M5" s="70"/>
      <c r="N5" s="70"/>
      <c r="O5" s="71">
        <f t="shared" si="1"/>
        <v>0</v>
      </c>
      <c r="P5" s="72">
        <f t="shared" si="2"/>
        <v>0</v>
      </c>
      <c r="Q5" s="72">
        <f t="shared" si="3"/>
        <v>0</v>
      </c>
      <c r="R5" s="73"/>
      <c r="S5" s="73"/>
      <c r="T5" s="73"/>
      <c r="U5" s="74">
        <f t="shared" si="4"/>
        <v>0</v>
      </c>
      <c r="V5" s="75"/>
    </row>
    <row r="6">
      <c r="A6" s="65" t="s">
        <v>53</v>
      </c>
      <c r="B6" s="66">
        <v>46195.0</v>
      </c>
      <c r="C6" s="67" t="s">
        <v>54</v>
      </c>
      <c r="D6" s="68" t="s">
        <v>55</v>
      </c>
      <c r="E6" s="68" t="s">
        <v>24</v>
      </c>
      <c r="F6" s="69" t="s">
        <v>56</v>
      </c>
      <c r="G6" s="69" t="s">
        <v>19</v>
      </c>
      <c r="H6" s="69"/>
      <c r="I6" s="70"/>
      <c r="J6" s="70"/>
      <c r="K6" s="69"/>
      <c r="L6" s="70" t="s">
        <v>57</v>
      </c>
      <c r="M6" s="70"/>
      <c r="N6" s="70"/>
      <c r="O6" s="71">
        <f t="shared" si="1"/>
        <v>0</v>
      </c>
      <c r="P6" s="72">
        <f t="shared" si="2"/>
        <v>0</v>
      </c>
      <c r="Q6" s="72">
        <f t="shared" si="3"/>
        <v>0</v>
      </c>
      <c r="R6" s="73"/>
      <c r="S6" s="73"/>
      <c r="T6" s="73"/>
      <c r="U6" s="74">
        <f t="shared" si="4"/>
        <v>0</v>
      </c>
      <c r="V6" s="75"/>
    </row>
    <row r="7">
      <c r="A7" s="65" t="s">
        <v>53</v>
      </c>
      <c r="B7" s="66">
        <v>46195.0</v>
      </c>
      <c r="C7" s="67" t="s">
        <v>54</v>
      </c>
      <c r="D7" s="68" t="s">
        <v>55</v>
      </c>
      <c r="E7" s="68" t="s">
        <v>26</v>
      </c>
      <c r="F7" s="69" t="s">
        <v>56</v>
      </c>
      <c r="G7" s="69" t="s">
        <v>19</v>
      </c>
      <c r="H7" s="69"/>
      <c r="I7" s="70"/>
      <c r="J7" s="70"/>
      <c r="K7" s="69"/>
      <c r="L7" s="70" t="s">
        <v>57</v>
      </c>
      <c r="M7" s="70"/>
      <c r="N7" s="70"/>
      <c r="O7" s="71">
        <f t="shared" si="1"/>
        <v>0</v>
      </c>
      <c r="P7" s="72">
        <f t="shared" si="2"/>
        <v>0</v>
      </c>
      <c r="Q7" s="72">
        <f t="shared" si="3"/>
        <v>0</v>
      </c>
      <c r="R7" s="73"/>
      <c r="S7" s="73"/>
      <c r="T7" s="73"/>
      <c r="U7" s="74">
        <f t="shared" si="4"/>
        <v>0</v>
      </c>
      <c r="V7" s="75"/>
    </row>
    <row r="8">
      <c r="A8" s="65" t="s">
        <v>53</v>
      </c>
      <c r="B8" s="66">
        <v>46195.0</v>
      </c>
      <c r="C8" s="67" t="s">
        <v>54</v>
      </c>
      <c r="D8" s="68" t="s">
        <v>55</v>
      </c>
      <c r="E8" s="68" t="s">
        <v>28</v>
      </c>
      <c r="F8" s="69" t="s">
        <v>56</v>
      </c>
      <c r="G8" s="69" t="s">
        <v>19</v>
      </c>
      <c r="H8" s="69"/>
      <c r="I8" s="70"/>
      <c r="J8" s="70"/>
      <c r="K8" s="69"/>
      <c r="L8" s="70" t="s">
        <v>57</v>
      </c>
      <c r="M8" s="70"/>
      <c r="N8" s="70"/>
      <c r="O8" s="71">
        <f t="shared" si="1"/>
        <v>0</v>
      </c>
      <c r="P8" s="72">
        <f t="shared" si="2"/>
        <v>0</v>
      </c>
      <c r="Q8" s="72">
        <f t="shared" si="3"/>
        <v>0</v>
      </c>
      <c r="R8" s="73"/>
      <c r="S8" s="73"/>
      <c r="T8" s="73"/>
      <c r="U8" s="74">
        <f t="shared" si="4"/>
        <v>0</v>
      </c>
      <c r="V8" s="75"/>
    </row>
    <row r="9">
      <c r="A9" s="65" t="s">
        <v>53</v>
      </c>
      <c r="B9" s="66">
        <v>46195.0</v>
      </c>
      <c r="C9" s="67" t="s">
        <v>54</v>
      </c>
      <c r="D9" s="68" t="s">
        <v>55</v>
      </c>
      <c r="E9" s="68" t="s">
        <v>25</v>
      </c>
      <c r="F9" s="69" t="s">
        <v>56</v>
      </c>
      <c r="G9" s="69" t="s">
        <v>19</v>
      </c>
      <c r="H9" s="69"/>
      <c r="I9" s="70"/>
      <c r="J9" s="70"/>
      <c r="K9" s="69"/>
      <c r="L9" s="70" t="s">
        <v>57</v>
      </c>
      <c r="M9" s="70"/>
      <c r="N9" s="70"/>
      <c r="O9" s="71">
        <f t="shared" si="1"/>
        <v>0</v>
      </c>
      <c r="P9" s="72">
        <f t="shared" si="2"/>
        <v>0</v>
      </c>
      <c r="Q9" s="72">
        <f t="shared" si="3"/>
        <v>0</v>
      </c>
      <c r="R9" s="73"/>
      <c r="S9" s="73"/>
      <c r="T9" s="73"/>
      <c r="U9" s="74">
        <f t="shared" si="4"/>
        <v>0</v>
      </c>
      <c r="V9" s="75"/>
    </row>
    <row r="10">
      <c r="A10" s="65" t="s">
        <v>53</v>
      </c>
      <c r="B10" s="66">
        <v>46195.0</v>
      </c>
      <c r="C10" s="67" t="s">
        <v>54</v>
      </c>
      <c r="D10" s="68" t="s">
        <v>55</v>
      </c>
      <c r="E10" s="68" t="s">
        <v>18</v>
      </c>
      <c r="F10" s="69" t="s">
        <v>56</v>
      </c>
      <c r="G10" s="69" t="s">
        <v>19</v>
      </c>
      <c r="H10" s="69"/>
      <c r="I10" s="70"/>
      <c r="J10" s="70"/>
      <c r="K10" s="69"/>
      <c r="L10" s="70" t="s">
        <v>57</v>
      </c>
      <c r="M10" s="70"/>
      <c r="N10" s="70"/>
      <c r="O10" s="71">
        <f t="shared" si="1"/>
        <v>0</v>
      </c>
      <c r="P10" s="72">
        <f t="shared" si="2"/>
        <v>0</v>
      </c>
      <c r="Q10" s="72">
        <f t="shared" si="3"/>
        <v>0</v>
      </c>
      <c r="R10" s="73"/>
      <c r="S10" s="73"/>
      <c r="T10" s="73"/>
      <c r="U10" s="74">
        <f t="shared" si="4"/>
        <v>0</v>
      </c>
      <c r="V10" s="75"/>
    </row>
    <row r="11">
      <c r="A11" s="65" t="s">
        <v>53</v>
      </c>
      <c r="B11" s="66">
        <v>46195.0</v>
      </c>
      <c r="C11" s="67" t="s">
        <v>54</v>
      </c>
      <c r="D11" s="68" t="s">
        <v>55</v>
      </c>
      <c r="E11" s="68" t="s">
        <v>27</v>
      </c>
      <c r="F11" s="69" t="s">
        <v>56</v>
      </c>
      <c r="G11" s="69" t="s">
        <v>19</v>
      </c>
      <c r="H11" s="69"/>
      <c r="I11" s="70"/>
      <c r="J11" s="70"/>
      <c r="K11" s="69"/>
      <c r="L11" s="70" t="s">
        <v>57</v>
      </c>
      <c r="M11" s="70"/>
      <c r="N11" s="70"/>
      <c r="O11" s="71">
        <f t="shared" si="1"/>
        <v>0</v>
      </c>
      <c r="P11" s="72">
        <f t="shared" si="2"/>
        <v>0</v>
      </c>
      <c r="Q11" s="72">
        <f t="shared" si="3"/>
        <v>0</v>
      </c>
      <c r="R11" s="73"/>
      <c r="S11" s="73"/>
      <c r="T11" s="73"/>
      <c r="U11" s="74">
        <f t="shared" si="4"/>
        <v>0</v>
      </c>
      <c r="V11" s="75"/>
    </row>
    <row r="12">
      <c r="A12" s="65" t="s">
        <v>53</v>
      </c>
      <c r="B12" s="66">
        <v>46195.0</v>
      </c>
      <c r="C12" s="67" t="s">
        <v>54</v>
      </c>
      <c r="D12" s="68" t="s">
        <v>55</v>
      </c>
      <c r="E12" s="68" t="s">
        <v>23</v>
      </c>
      <c r="F12" s="69" t="s">
        <v>56</v>
      </c>
      <c r="G12" s="69" t="s">
        <v>19</v>
      </c>
      <c r="H12" s="69"/>
      <c r="I12" s="70"/>
      <c r="J12" s="70"/>
      <c r="K12" s="69"/>
      <c r="L12" s="70" t="s">
        <v>57</v>
      </c>
      <c r="M12" s="70"/>
      <c r="N12" s="70"/>
      <c r="O12" s="71">
        <f t="shared" si="1"/>
        <v>0</v>
      </c>
      <c r="P12" s="72">
        <f t="shared" si="2"/>
        <v>0</v>
      </c>
      <c r="Q12" s="72">
        <f t="shared" si="3"/>
        <v>0</v>
      </c>
      <c r="R12" s="73"/>
      <c r="S12" s="73"/>
      <c r="T12" s="73"/>
      <c r="U12" s="74">
        <f t="shared" si="4"/>
        <v>0</v>
      </c>
      <c r="V12" s="75"/>
    </row>
    <row r="13">
      <c r="A13" s="65" t="s">
        <v>53</v>
      </c>
      <c r="B13" s="66">
        <v>46195.0</v>
      </c>
      <c r="C13" s="67" t="s">
        <v>54</v>
      </c>
      <c r="D13" s="68" t="s">
        <v>55</v>
      </c>
      <c r="E13" s="68" t="s">
        <v>22</v>
      </c>
      <c r="F13" s="69" t="s">
        <v>56</v>
      </c>
      <c r="G13" s="69" t="s">
        <v>19</v>
      </c>
      <c r="H13" s="69"/>
      <c r="I13" s="70"/>
      <c r="J13" s="70"/>
      <c r="K13" s="69"/>
      <c r="L13" s="70" t="s">
        <v>57</v>
      </c>
      <c r="M13" s="70"/>
      <c r="N13" s="70"/>
      <c r="O13" s="71">
        <f t="shared" si="1"/>
        <v>0</v>
      </c>
      <c r="P13" s="72">
        <f t="shared" si="2"/>
        <v>0</v>
      </c>
      <c r="Q13" s="72">
        <f t="shared" si="3"/>
        <v>0</v>
      </c>
      <c r="R13" s="73"/>
      <c r="S13" s="73"/>
      <c r="T13" s="73"/>
      <c r="U13" s="74">
        <f t="shared" si="4"/>
        <v>0</v>
      </c>
      <c r="V13" s="75"/>
    </row>
    <row r="14" hidden="1">
      <c r="A14" s="65" t="s">
        <v>58</v>
      </c>
      <c r="B14" s="66">
        <v>46189.0</v>
      </c>
      <c r="C14" s="67" t="s">
        <v>54</v>
      </c>
      <c r="D14" s="68" t="s">
        <v>55</v>
      </c>
      <c r="E14" s="68" t="s">
        <v>21</v>
      </c>
      <c r="F14" s="69" t="s">
        <v>59</v>
      </c>
      <c r="G14" s="69" t="s">
        <v>19</v>
      </c>
      <c r="H14" s="69" t="s">
        <v>22</v>
      </c>
      <c r="I14" s="70" t="s">
        <v>29</v>
      </c>
      <c r="J14" s="70" t="s">
        <v>25</v>
      </c>
      <c r="K14" s="69">
        <v>15.8</v>
      </c>
      <c r="L14" s="70" t="s">
        <v>60</v>
      </c>
      <c r="M14" s="70">
        <v>47.0</v>
      </c>
      <c r="N14" s="70">
        <v>19.0</v>
      </c>
      <c r="O14" s="71">
        <f t="shared" si="1"/>
        <v>39</v>
      </c>
      <c r="P14" s="72">
        <f t="shared" si="2"/>
        <v>3</v>
      </c>
      <c r="Q14" s="72">
        <f t="shared" si="3"/>
        <v>2</v>
      </c>
      <c r="R14" s="73">
        <v>1.0</v>
      </c>
      <c r="S14" s="73">
        <v>2.0</v>
      </c>
      <c r="T14" s="73">
        <v>1.0</v>
      </c>
      <c r="U14" s="74">
        <f t="shared" si="4"/>
        <v>9</v>
      </c>
      <c r="V14" s="75"/>
    </row>
    <row r="15" hidden="1">
      <c r="A15" s="65" t="s">
        <v>58</v>
      </c>
      <c r="B15" s="66">
        <v>46189.0</v>
      </c>
      <c r="C15" s="67" t="s">
        <v>54</v>
      </c>
      <c r="D15" s="68" t="s">
        <v>55</v>
      </c>
      <c r="E15" s="68" t="s">
        <v>29</v>
      </c>
      <c r="F15" s="69" t="s">
        <v>59</v>
      </c>
      <c r="G15" s="69" t="s">
        <v>19</v>
      </c>
      <c r="H15" s="69" t="s">
        <v>25</v>
      </c>
      <c r="I15" s="70" t="s">
        <v>21</v>
      </c>
      <c r="J15" s="70" t="s">
        <v>22</v>
      </c>
      <c r="K15" s="69">
        <v>10.0</v>
      </c>
      <c r="L15" s="70" t="s">
        <v>60</v>
      </c>
      <c r="M15" s="70">
        <v>49.0</v>
      </c>
      <c r="N15" s="70">
        <v>0.0</v>
      </c>
      <c r="O15" s="71">
        <f t="shared" si="1"/>
        <v>44</v>
      </c>
      <c r="P15" s="72">
        <f t="shared" si="2"/>
        <v>3</v>
      </c>
      <c r="Q15" s="72">
        <f t="shared" si="3"/>
        <v>2</v>
      </c>
      <c r="R15" s="73">
        <v>0.0</v>
      </c>
      <c r="S15" s="73">
        <v>1.0</v>
      </c>
      <c r="T15" s="73">
        <v>0.0</v>
      </c>
      <c r="U15" s="74">
        <f t="shared" si="4"/>
        <v>6</v>
      </c>
      <c r="V15" s="75"/>
    </row>
    <row r="16" hidden="1">
      <c r="A16" s="65" t="s">
        <v>58</v>
      </c>
      <c r="B16" s="66">
        <v>46189.0</v>
      </c>
      <c r="C16" s="67" t="s">
        <v>54</v>
      </c>
      <c r="D16" s="68" t="s">
        <v>55</v>
      </c>
      <c r="E16" s="68" t="s">
        <v>20</v>
      </c>
      <c r="F16" s="69" t="s">
        <v>61</v>
      </c>
      <c r="G16" s="69" t="s">
        <v>19</v>
      </c>
      <c r="H16" s="69" t="s">
        <v>19</v>
      </c>
      <c r="I16" s="70" t="s">
        <v>19</v>
      </c>
      <c r="J16" s="70" t="s">
        <v>19</v>
      </c>
      <c r="K16" s="69" t="s">
        <v>19</v>
      </c>
      <c r="L16" s="70" t="s">
        <v>57</v>
      </c>
      <c r="M16" s="70" t="s">
        <v>19</v>
      </c>
      <c r="N16" s="70" t="s">
        <v>19</v>
      </c>
      <c r="O16" s="71" t="s">
        <v>19</v>
      </c>
      <c r="P16" s="76">
        <v>0.0</v>
      </c>
      <c r="Q16" s="76">
        <v>0.0</v>
      </c>
      <c r="R16" s="73">
        <v>0.0</v>
      </c>
      <c r="S16" s="73">
        <v>0.0</v>
      </c>
      <c r="T16" s="73">
        <v>0.0</v>
      </c>
      <c r="U16" s="77">
        <v>0.0</v>
      </c>
      <c r="V16" s="75"/>
    </row>
    <row r="17" hidden="1">
      <c r="A17" s="65" t="s">
        <v>58</v>
      </c>
      <c r="B17" s="66">
        <v>46189.0</v>
      </c>
      <c r="C17" s="67" t="s">
        <v>54</v>
      </c>
      <c r="D17" s="68" t="s">
        <v>55</v>
      </c>
      <c r="E17" s="68" t="s">
        <v>24</v>
      </c>
      <c r="F17" s="69" t="s">
        <v>59</v>
      </c>
      <c r="G17" s="69" t="s">
        <v>19</v>
      </c>
      <c r="H17" s="69" t="s">
        <v>27</v>
      </c>
      <c r="I17" s="70" t="s">
        <v>18</v>
      </c>
      <c r="J17" s="70" t="s">
        <v>23</v>
      </c>
      <c r="K17" s="69">
        <v>13.8</v>
      </c>
      <c r="L17" s="70" t="s">
        <v>62</v>
      </c>
      <c r="M17" s="70">
        <v>44.0</v>
      </c>
      <c r="N17" s="70">
        <v>20.0</v>
      </c>
      <c r="O17" s="71">
        <f>M17-ROUNDUP(K17/2,0)</f>
        <v>37</v>
      </c>
      <c r="P17" s="72">
        <f>IFS(F17="Yes",3,F17="No",0,F17="Confirmed",3,F17="unk",0)</f>
        <v>3</v>
      </c>
      <c r="Q17" s="72">
        <f>IFS(L17="Tied",2,L17="Won",5,L17="Lost",0,L17="n/a",0)</f>
        <v>0</v>
      </c>
      <c r="R17" s="73">
        <v>3.0</v>
      </c>
      <c r="S17" s="73">
        <v>3.0</v>
      </c>
      <c r="T17" s="73">
        <v>0.0</v>
      </c>
      <c r="U17" s="74">
        <f>SUM(P17:T17)</f>
        <v>9</v>
      </c>
      <c r="V17" s="75"/>
    </row>
    <row r="18" hidden="1">
      <c r="A18" s="65" t="s">
        <v>58</v>
      </c>
      <c r="B18" s="66">
        <v>46189.0</v>
      </c>
      <c r="C18" s="67" t="s">
        <v>54</v>
      </c>
      <c r="D18" s="68" t="s">
        <v>55</v>
      </c>
      <c r="E18" s="68" t="s">
        <v>26</v>
      </c>
      <c r="F18" s="69" t="s">
        <v>61</v>
      </c>
      <c r="G18" s="69" t="s">
        <v>19</v>
      </c>
      <c r="H18" s="69" t="s">
        <v>19</v>
      </c>
      <c r="I18" s="70" t="s">
        <v>19</v>
      </c>
      <c r="J18" s="70" t="s">
        <v>19</v>
      </c>
      <c r="K18" s="69" t="s">
        <v>19</v>
      </c>
      <c r="L18" s="70" t="s">
        <v>57</v>
      </c>
      <c r="M18" s="70" t="s">
        <v>19</v>
      </c>
      <c r="N18" s="70" t="s">
        <v>19</v>
      </c>
      <c r="O18" s="71" t="s">
        <v>19</v>
      </c>
      <c r="P18" s="76">
        <v>0.0</v>
      </c>
      <c r="Q18" s="76">
        <v>0.0</v>
      </c>
      <c r="R18" s="73">
        <v>0.0</v>
      </c>
      <c r="S18" s="73">
        <v>0.0</v>
      </c>
      <c r="T18" s="73">
        <v>0.0</v>
      </c>
      <c r="U18" s="77">
        <v>0.0</v>
      </c>
      <c r="V18" s="75"/>
    </row>
    <row r="19" hidden="1">
      <c r="A19" s="65" t="s">
        <v>58</v>
      </c>
      <c r="B19" s="66">
        <v>46189.0</v>
      </c>
      <c r="C19" s="67" t="s">
        <v>54</v>
      </c>
      <c r="D19" s="68" t="s">
        <v>55</v>
      </c>
      <c r="E19" s="68" t="s">
        <v>28</v>
      </c>
      <c r="F19" s="69" t="s">
        <v>61</v>
      </c>
      <c r="G19" s="69" t="s">
        <v>19</v>
      </c>
      <c r="H19" s="69" t="s">
        <v>19</v>
      </c>
      <c r="I19" s="70" t="s">
        <v>19</v>
      </c>
      <c r="J19" s="70" t="s">
        <v>19</v>
      </c>
      <c r="K19" s="69" t="s">
        <v>19</v>
      </c>
      <c r="L19" s="70" t="s">
        <v>57</v>
      </c>
      <c r="M19" s="70" t="s">
        <v>19</v>
      </c>
      <c r="N19" s="70" t="s">
        <v>19</v>
      </c>
      <c r="O19" s="71" t="s">
        <v>19</v>
      </c>
      <c r="P19" s="76">
        <v>0.0</v>
      </c>
      <c r="Q19" s="76">
        <v>0.0</v>
      </c>
      <c r="R19" s="73">
        <v>0.0</v>
      </c>
      <c r="S19" s="73">
        <v>0.0</v>
      </c>
      <c r="T19" s="73">
        <v>0.0</v>
      </c>
      <c r="U19" s="77">
        <v>0.0</v>
      </c>
      <c r="V19" s="75"/>
    </row>
    <row r="20" hidden="1">
      <c r="A20" s="65" t="s">
        <v>58</v>
      </c>
      <c r="B20" s="66">
        <v>46189.0</v>
      </c>
      <c r="C20" s="67" t="s">
        <v>54</v>
      </c>
      <c r="D20" s="68" t="s">
        <v>55</v>
      </c>
      <c r="E20" s="68" t="s">
        <v>25</v>
      </c>
      <c r="F20" s="69" t="s">
        <v>59</v>
      </c>
      <c r="G20" s="69" t="s">
        <v>19</v>
      </c>
      <c r="H20" s="69" t="s">
        <v>29</v>
      </c>
      <c r="I20" s="70" t="s">
        <v>21</v>
      </c>
      <c r="J20" s="70" t="s">
        <v>22</v>
      </c>
      <c r="K20" s="69">
        <v>18.5</v>
      </c>
      <c r="L20" s="70" t="s">
        <v>60</v>
      </c>
      <c r="M20" s="70">
        <v>47.0</v>
      </c>
      <c r="N20" s="70">
        <v>17.0</v>
      </c>
      <c r="O20" s="71">
        <f t="shared" ref="O20:O24" si="5">M20-ROUNDUP(K20/2,0)</f>
        <v>37</v>
      </c>
      <c r="P20" s="72">
        <f t="shared" ref="P20:P79" si="6">IFS(F20="Yes",3,F20="No",0,F20="Confirmed",3,F20="unk",0)</f>
        <v>3</v>
      </c>
      <c r="Q20" s="72">
        <f t="shared" ref="Q20:Q79" si="7">IFS(L20="Tied",2,L20="Won",5,L20="Lost",0,L20="n/a",0)</f>
        <v>2</v>
      </c>
      <c r="R20" s="73">
        <v>1.0</v>
      </c>
      <c r="S20" s="73">
        <v>3.0</v>
      </c>
      <c r="T20" s="73">
        <v>2.0</v>
      </c>
      <c r="U20" s="74">
        <f t="shared" ref="U20:U36" si="8">SUM(P20:T20)</f>
        <v>11</v>
      </c>
      <c r="V20" s="75"/>
    </row>
    <row r="21" hidden="1">
      <c r="A21" s="65" t="s">
        <v>58</v>
      </c>
      <c r="B21" s="66">
        <v>46189.0</v>
      </c>
      <c r="C21" s="67" t="s">
        <v>54</v>
      </c>
      <c r="D21" s="68" t="s">
        <v>55</v>
      </c>
      <c r="E21" s="68" t="s">
        <v>18</v>
      </c>
      <c r="F21" s="69" t="s">
        <v>59</v>
      </c>
      <c r="G21" s="69" t="s">
        <v>19</v>
      </c>
      <c r="H21" s="69" t="s">
        <v>23</v>
      </c>
      <c r="I21" s="70" t="s">
        <v>27</v>
      </c>
      <c r="J21" s="70" t="s">
        <v>24</v>
      </c>
      <c r="K21" s="69">
        <v>11.0</v>
      </c>
      <c r="L21" s="70" t="s">
        <v>63</v>
      </c>
      <c r="M21" s="70">
        <v>40.0</v>
      </c>
      <c r="N21" s="70">
        <v>15.0</v>
      </c>
      <c r="O21" s="71">
        <f t="shared" si="5"/>
        <v>34</v>
      </c>
      <c r="P21" s="72">
        <f t="shared" si="6"/>
        <v>3</v>
      </c>
      <c r="Q21" s="72">
        <f t="shared" si="7"/>
        <v>5</v>
      </c>
      <c r="R21" s="73">
        <v>6.0</v>
      </c>
      <c r="S21" s="73">
        <v>5.0</v>
      </c>
      <c r="T21" s="73">
        <v>4.0</v>
      </c>
      <c r="U21" s="74">
        <f t="shared" si="8"/>
        <v>23</v>
      </c>
      <c r="V21" s="75"/>
    </row>
    <row r="22" hidden="1">
      <c r="A22" s="65" t="s">
        <v>58</v>
      </c>
      <c r="B22" s="66">
        <v>46189.0</v>
      </c>
      <c r="C22" s="67" t="s">
        <v>54</v>
      </c>
      <c r="D22" s="68" t="s">
        <v>55</v>
      </c>
      <c r="E22" s="68" t="s">
        <v>27</v>
      </c>
      <c r="F22" s="69" t="s">
        <v>59</v>
      </c>
      <c r="G22" s="69" t="s">
        <v>19</v>
      </c>
      <c r="H22" s="69" t="s">
        <v>24</v>
      </c>
      <c r="I22" s="70" t="s">
        <v>18</v>
      </c>
      <c r="J22" s="70" t="s">
        <v>23</v>
      </c>
      <c r="K22" s="69">
        <v>31.7</v>
      </c>
      <c r="L22" s="70" t="s">
        <v>62</v>
      </c>
      <c r="M22" s="70">
        <v>63.0</v>
      </c>
      <c r="N22" s="70">
        <v>0.0</v>
      </c>
      <c r="O22" s="71">
        <f t="shared" si="5"/>
        <v>47</v>
      </c>
      <c r="P22" s="72">
        <f t="shared" si="6"/>
        <v>3</v>
      </c>
      <c r="Q22" s="72">
        <f t="shared" si="7"/>
        <v>0</v>
      </c>
      <c r="R22" s="73">
        <v>0.0</v>
      </c>
      <c r="S22" s="73">
        <v>0.0</v>
      </c>
      <c r="T22" s="73">
        <v>0.0</v>
      </c>
      <c r="U22" s="74">
        <f t="shared" si="8"/>
        <v>3</v>
      </c>
      <c r="V22" s="75"/>
    </row>
    <row r="23" hidden="1">
      <c r="A23" s="65" t="s">
        <v>58</v>
      </c>
      <c r="B23" s="66">
        <v>46189.0</v>
      </c>
      <c r="C23" s="67" t="s">
        <v>54</v>
      </c>
      <c r="D23" s="68" t="s">
        <v>55</v>
      </c>
      <c r="E23" s="68" t="s">
        <v>23</v>
      </c>
      <c r="F23" s="69" t="s">
        <v>59</v>
      </c>
      <c r="G23" s="69" t="s">
        <v>19</v>
      </c>
      <c r="H23" s="69" t="s">
        <v>18</v>
      </c>
      <c r="I23" s="70" t="s">
        <v>27</v>
      </c>
      <c r="J23" s="70" t="s">
        <v>24</v>
      </c>
      <c r="K23" s="69">
        <v>11.5</v>
      </c>
      <c r="L23" s="70" t="s">
        <v>63</v>
      </c>
      <c r="M23" s="70">
        <v>43.0</v>
      </c>
      <c r="N23" s="70">
        <v>16.0</v>
      </c>
      <c r="O23" s="71">
        <f t="shared" si="5"/>
        <v>37</v>
      </c>
      <c r="P23" s="72">
        <f t="shared" si="6"/>
        <v>3</v>
      </c>
      <c r="Q23" s="72">
        <f t="shared" si="7"/>
        <v>5</v>
      </c>
      <c r="R23" s="73">
        <v>4.0</v>
      </c>
      <c r="S23" s="73">
        <v>3.0</v>
      </c>
      <c r="T23" s="73">
        <v>3.0</v>
      </c>
      <c r="U23" s="74">
        <f t="shared" si="8"/>
        <v>18</v>
      </c>
      <c r="V23" s="75"/>
    </row>
    <row r="24" hidden="1">
      <c r="A24" s="65" t="s">
        <v>58</v>
      </c>
      <c r="B24" s="66">
        <v>46189.0</v>
      </c>
      <c r="C24" s="67" t="s">
        <v>54</v>
      </c>
      <c r="D24" s="68" t="s">
        <v>55</v>
      </c>
      <c r="E24" s="68" t="s">
        <v>22</v>
      </c>
      <c r="F24" s="69" t="s">
        <v>59</v>
      </c>
      <c r="G24" s="69" t="s">
        <v>19</v>
      </c>
      <c r="H24" s="69" t="s">
        <v>21</v>
      </c>
      <c r="I24" s="70" t="s">
        <v>29</v>
      </c>
      <c r="J24" s="70" t="s">
        <v>25</v>
      </c>
      <c r="K24" s="69">
        <v>19.4</v>
      </c>
      <c r="L24" s="70" t="s">
        <v>60</v>
      </c>
      <c r="M24" s="70">
        <v>46.0</v>
      </c>
      <c r="N24" s="70">
        <v>15.0</v>
      </c>
      <c r="O24" s="71">
        <f t="shared" si="5"/>
        <v>36</v>
      </c>
      <c r="P24" s="72">
        <f t="shared" si="6"/>
        <v>3</v>
      </c>
      <c r="Q24" s="72">
        <f t="shared" si="7"/>
        <v>2</v>
      </c>
      <c r="R24" s="73">
        <v>2.0</v>
      </c>
      <c r="S24" s="73">
        <v>4.0</v>
      </c>
      <c r="T24" s="73">
        <v>4.0</v>
      </c>
      <c r="U24" s="74">
        <f t="shared" si="8"/>
        <v>15</v>
      </c>
      <c r="V24" s="75"/>
    </row>
    <row r="25" hidden="1">
      <c r="A25" s="65" t="s">
        <v>64</v>
      </c>
      <c r="B25" s="66">
        <v>46182.0</v>
      </c>
      <c r="C25" s="67" t="s">
        <v>65</v>
      </c>
      <c r="D25" s="67" t="s">
        <v>66</v>
      </c>
      <c r="E25" s="68" t="s">
        <v>21</v>
      </c>
      <c r="F25" s="78" t="s">
        <v>61</v>
      </c>
      <c r="G25" s="69" t="s">
        <v>19</v>
      </c>
      <c r="H25" s="69" t="s">
        <v>19</v>
      </c>
      <c r="I25" s="70" t="s">
        <v>19</v>
      </c>
      <c r="J25" s="70" t="s">
        <v>19</v>
      </c>
      <c r="K25" s="69" t="s">
        <v>19</v>
      </c>
      <c r="L25" s="70" t="s">
        <v>57</v>
      </c>
      <c r="M25" s="70" t="s">
        <v>19</v>
      </c>
      <c r="N25" s="70" t="s">
        <v>19</v>
      </c>
      <c r="O25" s="71" t="s">
        <v>19</v>
      </c>
      <c r="P25" s="72">
        <f t="shared" si="6"/>
        <v>0</v>
      </c>
      <c r="Q25" s="72">
        <f t="shared" si="7"/>
        <v>0</v>
      </c>
      <c r="R25" s="73">
        <v>0.0</v>
      </c>
      <c r="S25" s="73">
        <v>0.0</v>
      </c>
      <c r="T25" s="73">
        <v>0.0</v>
      </c>
      <c r="U25" s="74">
        <f t="shared" si="8"/>
        <v>0</v>
      </c>
      <c r="V25" s="75"/>
    </row>
    <row r="26" hidden="1">
      <c r="A26" s="65" t="s">
        <v>64</v>
      </c>
      <c r="B26" s="66">
        <v>46182.0</v>
      </c>
      <c r="C26" s="67" t="s">
        <v>65</v>
      </c>
      <c r="D26" s="67" t="s">
        <v>66</v>
      </c>
      <c r="E26" s="68" t="s">
        <v>29</v>
      </c>
      <c r="F26" s="78" t="s">
        <v>61</v>
      </c>
      <c r="G26" s="69" t="s">
        <v>19</v>
      </c>
      <c r="H26" s="69" t="s">
        <v>19</v>
      </c>
      <c r="I26" s="70" t="s">
        <v>19</v>
      </c>
      <c r="J26" s="70" t="s">
        <v>19</v>
      </c>
      <c r="K26" s="69" t="s">
        <v>19</v>
      </c>
      <c r="L26" s="70" t="s">
        <v>57</v>
      </c>
      <c r="M26" s="70" t="s">
        <v>19</v>
      </c>
      <c r="N26" s="70" t="s">
        <v>19</v>
      </c>
      <c r="O26" s="71" t="s">
        <v>19</v>
      </c>
      <c r="P26" s="72">
        <f t="shared" si="6"/>
        <v>0</v>
      </c>
      <c r="Q26" s="72">
        <f t="shared" si="7"/>
        <v>0</v>
      </c>
      <c r="R26" s="73">
        <v>0.0</v>
      </c>
      <c r="S26" s="73">
        <v>0.0</v>
      </c>
      <c r="T26" s="73">
        <v>0.0</v>
      </c>
      <c r="U26" s="74">
        <f t="shared" si="8"/>
        <v>0</v>
      </c>
      <c r="V26" s="75"/>
    </row>
    <row r="27" hidden="1">
      <c r="A27" s="65" t="s">
        <v>64</v>
      </c>
      <c r="B27" s="66">
        <v>46182.0</v>
      </c>
      <c r="C27" s="67" t="s">
        <v>65</v>
      </c>
      <c r="D27" s="67" t="s">
        <v>66</v>
      </c>
      <c r="E27" s="68" t="s">
        <v>20</v>
      </c>
      <c r="F27" s="78" t="s">
        <v>59</v>
      </c>
      <c r="G27" s="69" t="s">
        <v>19</v>
      </c>
      <c r="H27" s="69" t="s">
        <v>67</v>
      </c>
      <c r="I27" s="70" t="s">
        <v>23</v>
      </c>
      <c r="J27" s="70" t="s">
        <v>28</v>
      </c>
      <c r="K27" s="69">
        <v>13.1</v>
      </c>
      <c r="L27" s="70" t="s">
        <v>60</v>
      </c>
      <c r="M27" s="70">
        <v>43.0</v>
      </c>
      <c r="N27" s="70">
        <v>19.0</v>
      </c>
      <c r="O27" s="71">
        <f>M27-ROUNDUP(K27/2,0)</f>
        <v>36</v>
      </c>
      <c r="P27" s="72">
        <f t="shared" si="6"/>
        <v>3</v>
      </c>
      <c r="Q27" s="72">
        <f t="shared" si="7"/>
        <v>2</v>
      </c>
      <c r="R27" s="73">
        <v>4.0</v>
      </c>
      <c r="S27" s="73">
        <v>4.0</v>
      </c>
      <c r="T27" s="73">
        <v>1.0</v>
      </c>
      <c r="U27" s="74">
        <f t="shared" si="8"/>
        <v>14</v>
      </c>
      <c r="V27" s="75"/>
    </row>
    <row r="28" hidden="1">
      <c r="A28" s="65" t="s">
        <v>64</v>
      </c>
      <c r="B28" s="66">
        <v>46182.0</v>
      </c>
      <c r="C28" s="67" t="s">
        <v>65</v>
      </c>
      <c r="D28" s="67" t="s">
        <v>66</v>
      </c>
      <c r="E28" s="68" t="s">
        <v>24</v>
      </c>
      <c r="F28" s="78" t="s">
        <v>61</v>
      </c>
      <c r="G28" s="69" t="s">
        <v>19</v>
      </c>
      <c r="H28" s="69" t="s">
        <v>19</v>
      </c>
      <c r="I28" s="70" t="s">
        <v>19</v>
      </c>
      <c r="J28" s="70" t="s">
        <v>19</v>
      </c>
      <c r="K28" s="69" t="s">
        <v>19</v>
      </c>
      <c r="L28" s="70" t="s">
        <v>57</v>
      </c>
      <c r="M28" s="70" t="s">
        <v>19</v>
      </c>
      <c r="N28" s="70" t="s">
        <v>19</v>
      </c>
      <c r="O28" s="71" t="s">
        <v>19</v>
      </c>
      <c r="P28" s="72">
        <f t="shared" si="6"/>
        <v>0</v>
      </c>
      <c r="Q28" s="72">
        <f t="shared" si="7"/>
        <v>0</v>
      </c>
      <c r="R28" s="73">
        <v>0.0</v>
      </c>
      <c r="S28" s="73">
        <v>0.0</v>
      </c>
      <c r="T28" s="73">
        <v>0.0</v>
      </c>
      <c r="U28" s="74">
        <f t="shared" si="8"/>
        <v>0</v>
      </c>
      <c r="V28" s="75"/>
    </row>
    <row r="29" hidden="1">
      <c r="A29" s="65" t="s">
        <v>64</v>
      </c>
      <c r="B29" s="66">
        <v>46182.0</v>
      </c>
      <c r="C29" s="67" t="s">
        <v>65</v>
      </c>
      <c r="D29" s="67" t="s">
        <v>66</v>
      </c>
      <c r="E29" s="68" t="s">
        <v>26</v>
      </c>
      <c r="F29" s="78" t="s">
        <v>59</v>
      </c>
      <c r="G29" s="69" t="s">
        <v>19</v>
      </c>
      <c r="H29" s="69" t="s">
        <v>18</v>
      </c>
      <c r="I29" s="70" t="s">
        <v>68</v>
      </c>
      <c r="J29" s="70" t="s">
        <v>25</v>
      </c>
      <c r="K29" s="69">
        <v>27.4</v>
      </c>
      <c r="L29" s="70" t="s">
        <v>63</v>
      </c>
      <c r="M29" s="70">
        <v>58.0</v>
      </c>
      <c r="N29" s="70">
        <v>18.0</v>
      </c>
      <c r="O29" s="71">
        <f t="shared" ref="O29:O32" si="9">M29-ROUNDUP(K29/2,0)</f>
        <v>44</v>
      </c>
      <c r="P29" s="72">
        <f t="shared" si="6"/>
        <v>3</v>
      </c>
      <c r="Q29" s="72">
        <f t="shared" si="7"/>
        <v>5</v>
      </c>
      <c r="R29" s="73">
        <v>0.0</v>
      </c>
      <c r="S29" s="73">
        <v>0.0</v>
      </c>
      <c r="T29" s="73">
        <v>2.0</v>
      </c>
      <c r="U29" s="74">
        <f t="shared" si="8"/>
        <v>10</v>
      </c>
      <c r="V29" s="75"/>
    </row>
    <row r="30" hidden="1">
      <c r="A30" s="65" t="s">
        <v>64</v>
      </c>
      <c r="B30" s="66">
        <v>46182.0</v>
      </c>
      <c r="C30" s="67" t="s">
        <v>65</v>
      </c>
      <c r="D30" s="67" t="s">
        <v>66</v>
      </c>
      <c r="E30" s="68" t="s">
        <v>28</v>
      </c>
      <c r="F30" s="78" t="s">
        <v>59</v>
      </c>
      <c r="G30" s="69" t="s">
        <v>19</v>
      </c>
      <c r="H30" s="69" t="s">
        <v>67</v>
      </c>
      <c r="I30" s="70" t="s">
        <v>23</v>
      </c>
      <c r="J30" s="70" t="s">
        <v>20</v>
      </c>
      <c r="K30" s="69">
        <v>28.9</v>
      </c>
      <c r="L30" s="70" t="s">
        <v>60</v>
      </c>
      <c r="M30" s="70">
        <v>58.0</v>
      </c>
      <c r="N30" s="70">
        <v>20.0</v>
      </c>
      <c r="O30" s="71">
        <f t="shared" si="9"/>
        <v>43</v>
      </c>
      <c r="P30" s="72">
        <f t="shared" si="6"/>
        <v>3</v>
      </c>
      <c r="Q30" s="72">
        <f t="shared" si="7"/>
        <v>2</v>
      </c>
      <c r="R30" s="73">
        <v>0.0</v>
      </c>
      <c r="S30" s="73">
        <v>0.0</v>
      </c>
      <c r="T30" s="73">
        <v>1.0</v>
      </c>
      <c r="U30" s="74">
        <f t="shared" si="8"/>
        <v>6</v>
      </c>
      <c r="V30" s="75"/>
    </row>
    <row r="31" hidden="1">
      <c r="A31" s="65" t="s">
        <v>64</v>
      </c>
      <c r="B31" s="66">
        <v>46182.0</v>
      </c>
      <c r="C31" s="67" t="s">
        <v>65</v>
      </c>
      <c r="D31" s="67" t="s">
        <v>66</v>
      </c>
      <c r="E31" s="68" t="s">
        <v>25</v>
      </c>
      <c r="F31" s="78" t="s">
        <v>59</v>
      </c>
      <c r="G31" s="69" t="s">
        <v>19</v>
      </c>
      <c r="H31" s="69" t="s">
        <v>22</v>
      </c>
      <c r="I31" s="70" t="s">
        <v>26</v>
      </c>
      <c r="J31" s="70" t="s">
        <v>18</v>
      </c>
      <c r="K31" s="69">
        <v>18.1</v>
      </c>
      <c r="L31" s="70" t="s">
        <v>62</v>
      </c>
      <c r="M31" s="70">
        <v>49.0</v>
      </c>
      <c r="N31" s="70">
        <v>19.0</v>
      </c>
      <c r="O31" s="71">
        <f t="shared" si="9"/>
        <v>39</v>
      </c>
      <c r="P31" s="72">
        <f t="shared" si="6"/>
        <v>3</v>
      </c>
      <c r="Q31" s="72">
        <f t="shared" si="7"/>
        <v>0</v>
      </c>
      <c r="R31" s="73">
        <v>2.0</v>
      </c>
      <c r="S31" s="73">
        <v>2.0</v>
      </c>
      <c r="T31" s="73">
        <v>1.0</v>
      </c>
      <c r="U31" s="74">
        <f t="shared" si="8"/>
        <v>8</v>
      </c>
      <c r="V31" s="75"/>
    </row>
    <row r="32" hidden="1">
      <c r="A32" s="65" t="s">
        <v>64</v>
      </c>
      <c r="B32" s="66">
        <v>46182.0</v>
      </c>
      <c r="C32" s="67" t="s">
        <v>65</v>
      </c>
      <c r="D32" s="67" t="s">
        <v>66</v>
      </c>
      <c r="E32" s="68" t="s">
        <v>18</v>
      </c>
      <c r="F32" s="78" t="s">
        <v>59</v>
      </c>
      <c r="G32" s="69" t="s">
        <v>19</v>
      </c>
      <c r="H32" s="69" t="s">
        <v>26</v>
      </c>
      <c r="I32" s="70" t="s">
        <v>68</v>
      </c>
      <c r="J32" s="70" t="s">
        <v>25</v>
      </c>
      <c r="K32" s="69">
        <v>11.5</v>
      </c>
      <c r="L32" s="70" t="s">
        <v>63</v>
      </c>
      <c r="M32" s="70">
        <v>41.0</v>
      </c>
      <c r="N32" s="70">
        <v>17.0</v>
      </c>
      <c r="O32" s="71">
        <f t="shared" si="9"/>
        <v>35</v>
      </c>
      <c r="P32" s="72">
        <f t="shared" si="6"/>
        <v>3</v>
      </c>
      <c r="Q32" s="72">
        <f t="shared" si="7"/>
        <v>5</v>
      </c>
      <c r="R32" s="73">
        <v>6.0</v>
      </c>
      <c r="S32" s="73">
        <v>5.0</v>
      </c>
      <c r="T32" s="73">
        <v>3.0</v>
      </c>
      <c r="U32" s="74">
        <f t="shared" si="8"/>
        <v>22</v>
      </c>
      <c r="V32" s="75"/>
    </row>
    <row r="33" hidden="1">
      <c r="A33" s="65" t="s">
        <v>64</v>
      </c>
      <c r="B33" s="66">
        <v>46182.0</v>
      </c>
      <c r="C33" s="67" t="s">
        <v>65</v>
      </c>
      <c r="D33" s="67" t="s">
        <v>66</v>
      </c>
      <c r="E33" s="68" t="s">
        <v>27</v>
      </c>
      <c r="F33" s="78" t="s">
        <v>61</v>
      </c>
      <c r="G33" s="69" t="s">
        <v>19</v>
      </c>
      <c r="H33" s="69" t="s">
        <v>19</v>
      </c>
      <c r="I33" s="70" t="s">
        <v>19</v>
      </c>
      <c r="J33" s="70" t="s">
        <v>19</v>
      </c>
      <c r="K33" s="69" t="s">
        <v>19</v>
      </c>
      <c r="L33" s="70" t="s">
        <v>57</v>
      </c>
      <c r="M33" s="70" t="s">
        <v>19</v>
      </c>
      <c r="N33" s="70" t="s">
        <v>19</v>
      </c>
      <c r="O33" s="71" t="s">
        <v>19</v>
      </c>
      <c r="P33" s="72">
        <f t="shared" si="6"/>
        <v>0</v>
      </c>
      <c r="Q33" s="72">
        <f t="shared" si="7"/>
        <v>0</v>
      </c>
      <c r="R33" s="73">
        <v>0.0</v>
      </c>
      <c r="S33" s="73">
        <v>0.0</v>
      </c>
      <c r="T33" s="73">
        <v>0.0</v>
      </c>
      <c r="U33" s="74">
        <f t="shared" si="8"/>
        <v>0</v>
      </c>
      <c r="V33" s="75"/>
    </row>
    <row r="34" hidden="1">
      <c r="A34" s="65" t="s">
        <v>64</v>
      </c>
      <c r="B34" s="66">
        <v>46182.0</v>
      </c>
      <c r="C34" s="67" t="s">
        <v>65</v>
      </c>
      <c r="D34" s="67" t="s">
        <v>66</v>
      </c>
      <c r="E34" s="68" t="s">
        <v>23</v>
      </c>
      <c r="F34" s="78" t="s">
        <v>59</v>
      </c>
      <c r="G34" s="69" t="s">
        <v>19</v>
      </c>
      <c r="H34" s="69" t="s">
        <v>67</v>
      </c>
      <c r="I34" s="70" t="s">
        <v>20</v>
      </c>
      <c r="J34" s="70" t="s">
        <v>28</v>
      </c>
      <c r="K34" s="69">
        <v>11.7</v>
      </c>
      <c r="L34" s="70" t="s">
        <v>60</v>
      </c>
      <c r="M34" s="70">
        <v>44.0</v>
      </c>
      <c r="N34" s="70">
        <v>16.0</v>
      </c>
      <c r="O34" s="71">
        <f t="shared" ref="O34:O36" si="10">M34-ROUNDUP(K34/2,0)</f>
        <v>38</v>
      </c>
      <c r="P34" s="72">
        <f t="shared" si="6"/>
        <v>3</v>
      </c>
      <c r="Q34" s="72">
        <f t="shared" si="7"/>
        <v>2</v>
      </c>
      <c r="R34" s="73">
        <v>3.0</v>
      </c>
      <c r="S34" s="73">
        <v>3.0</v>
      </c>
      <c r="T34" s="73">
        <v>4.0</v>
      </c>
      <c r="U34" s="74">
        <f t="shared" si="8"/>
        <v>15</v>
      </c>
      <c r="V34" s="75"/>
    </row>
    <row r="35" hidden="1">
      <c r="A35" s="65" t="s">
        <v>64</v>
      </c>
      <c r="B35" s="66">
        <v>46182.0</v>
      </c>
      <c r="C35" s="67" t="s">
        <v>65</v>
      </c>
      <c r="D35" s="67" t="s">
        <v>66</v>
      </c>
      <c r="E35" s="68" t="s">
        <v>22</v>
      </c>
      <c r="F35" s="78" t="s">
        <v>59</v>
      </c>
      <c r="G35" s="69" t="s">
        <v>19</v>
      </c>
      <c r="H35" s="69" t="s">
        <v>25</v>
      </c>
      <c r="I35" s="70" t="s">
        <v>26</v>
      </c>
      <c r="J35" s="70" t="s">
        <v>18</v>
      </c>
      <c r="K35" s="69">
        <v>19.0</v>
      </c>
      <c r="L35" s="70" t="s">
        <v>62</v>
      </c>
      <c r="M35" s="70">
        <v>51.0</v>
      </c>
      <c r="N35" s="70">
        <v>16.0</v>
      </c>
      <c r="O35" s="71">
        <f t="shared" si="10"/>
        <v>41</v>
      </c>
      <c r="P35" s="72">
        <f t="shared" si="6"/>
        <v>3</v>
      </c>
      <c r="Q35" s="72">
        <f t="shared" si="7"/>
        <v>0</v>
      </c>
      <c r="R35" s="73">
        <v>1.0</v>
      </c>
      <c r="S35" s="73">
        <v>1.0</v>
      </c>
      <c r="T35" s="73">
        <v>4.0</v>
      </c>
      <c r="U35" s="74">
        <f t="shared" si="8"/>
        <v>9</v>
      </c>
      <c r="V35" s="75"/>
    </row>
    <row r="36" hidden="1">
      <c r="A36" s="65" t="s">
        <v>69</v>
      </c>
      <c r="B36" s="66">
        <v>46175.0</v>
      </c>
      <c r="C36" s="67" t="s">
        <v>54</v>
      </c>
      <c r="D36" s="67" t="s">
        <v>55</v>
      </c>
      <c r="E36" s="68" t="s">
        <v>21</v>
      </c>
      <c r="F36" s="78" t="s">
        <v>59</v>
      </c>
      <c r="G36" s="69" t="s">
        <v>19</v>
      </c>
      <c r="H36" s="69" t="s">
        <v>23</v>
      </c>
      <c r="I36" s="70" t="s">
        <v>20</v>
      </c>
      <c r="J36" s="70" t="s">
        <v>22</v>
      </c>
      <c r="K36" s="69">
        <v>15.3</v>
      </c>
      <c r="L36" s="70" t="s">
        <v>63</v>
      </c>
      <c r="M36" s="70">
        <v>44.0</v>
      </c>
      <c r="N36" s="70">
        <v>18.0</v>
      </c>
      <c r="O36" s="71">
        <f t="shared" si="10"/>
        <v>36</v>
      </c>
      <c r="P36" s="72">
        <f t="shared" si="6"/>
        <v>3</v>
      </c>
      <c r="Q36" s="72">
        <f t="shared" si="7"/>
        <v>5</v>
      </c>
      <c r="R36" s="73">
        <v>3.0</v>
      </c>
      <c r="S36" s="73">
        <v>4.0</v>
      </c>
      <c r="T36" s="73">
        <v>0.0</v>
      </c>
      <c r="U36" s="74">
        <f t="shared" si="8"/>
        <v>15</v>
      </c>
      <c r="V36" s="75"/>
    </row>
    <row r="37" hidden="1">
      <c r="A37" s="65" t="s">
        <v>69</v>
      </c>
      <c r="B37" s="66">
        <v>46175.0</v>
      </c>
      <c r="C37" s="67" t="s">
        <v>54</v>
      </c>
      <c r="D37" s="67" t="s">
        <v>55</v>
      </c>
      <c r="E37" s="68" t="s">
        <v>29</v>
      </c>
      <c r="F37" s="78" t="s">
        <v>61</v>
      </c>
      <c r="G37" s="69" t="s">
        <v>19</v>
      </c>
      <c r="H37" s="69" t="s">
        <v>19</v>
      </c>
      <c r="I37" s="70" t="s">
        <v>19</v>
      </c>
      <c r="J37" s="70" t="s">
        <v>19</v>
      </c>
      <c r="K37" s="69" t="s">
        <v>19</v>
      </c>
      <c r="L37" s="69" t="s">
        <v>57</v>
      </c>
      <c r="M37" s="69" t="s">
        <v>19</v>
      </c>
      <c r="N37" s="69" t="s">
        <v>19</v>
      </c>
      <c r="O37" s="71" t="s">
        <v>19</v>
      </c>
      <c r="P37" s="69">
        <f t="shared" si="6"/>
        <v>0</v>
      </c>
      <c r="Q37" s="79">
        <f t="shared" si="7"/>
        <v>0</v>
      </c>
      <c r="R37" s="80">
        <v>0.0</v>
      </c>
      <c r="S37" s="80">
        <v>0.0</v>
      </c>
      <c r="T37" s="80">
        <v>0.0</v>
      </c>
      <c r="U37" s="77">
        <v>0.0</v>
      </c>
      <c r="V37" s="75"/>
    </row>
    <row r="38" hidden="1">
      <c r="A38" s="65" t="s">
        <v>69</v>
      </c>
      <c r="B38" s="66">
        <v>46175.0</v>
      </c>
      <c r="C38" s="67" t="s">
        <v>54</v>
      </c>
      <c r="D38" s="67" t="s">
        <v>55</v>
      </c>
      <c r="E38" s="68" t="s">
        <v>20</v>
      </c>
      <c r="F38" s="78" t="s">
        <v>59</v>
      </c>
      <c r="G38" s="69" t="s">
        <v>19</v>
      </c>
      <c r="H38" s="69" t="s">
        <v>22</v>
      </c>
      <c r="I38" s="70" t="s">
        <v>23</v>
      </c>
      <c r="J38" s="70" t="s">
        <v>21</v>
      </c>
      <c r="K38" s="69">
        <v>12.8</v>
      </c>
      <c r="L38" s="70" t="s">
        <v>62</v>
      </c>
      <c r="M38" s="70">
        <v>43.0</v>
      </c>
      <c r="N38" s="70">
        <v>16.0</v>
      </c>
      <c r="O38" s="71">
        <f t="shared" ref="O38:O40" si="11">M38-ROUNDUP(K38/2,0)</f>
        <v>36</v>
      </c>
      <c r="P38" s="72">
        <f t="shared" si="6"/>
        <v>3</v>
      </c>
      <c r="Q38" s="72">
        <f t="shared" si="7"/>
        <v>0</v>
      </c>
      <c r="R38" s="73">
        <v>4.0</v>
      </c>
      <c r="S38" s="73">
        <v>4.0</v>
      </c>
      <c r="T38" s="73">
        <v>2.0</v>
      </c>
      <c r="U38" s="74">
        <f t="shared" ref="U38:U40" si="12">SUM(P38:T38)</f>
        <v>13</v>
      </c>
      <c r="V38" s="75"/>
    </row>
    <row r="39" hidden="1">
      <c r="A39" s="65" t="s">
        <v>69</v>
      </c>
      <c r="B39" s="66">
        <v>46175.0</v>
      </c>
      <c r="C39" s="67" t="s">
        <v>54</v>
      </c>
      <c r="D39" s="67" t="s">
        <v>55</v>
      </c>
      <c r="E39" s="68" t="s">
        <v>24</v>
      </c>
      <c r="F39" s="78" t="s">
        <v>59</v>
      </c>
      <c r="G39" s="69" t="s">
        <v>19</v>
      </c>
      <c r="H39" s="69" t="s">
        <v>25</v>
      </c>
      <c r="I39" s="70" t="s">
        <v>26</v>
      </c>
      <c r="J39" s="70" t="s">
        <v>27</v>
      </c>
      <c r="K39" s="69">
        <v>13.3</v>
      </c>
      <c r="L39" s="70" t="s">
        <v>63</v>
      </c>
      <c r="M39" s="70">
        <v>48.0</v>
      </c>
      <c r="N39" s="70">
        <v>18.0</v>
      </c>
      <c r="O39" s="71">
        <f t="shared" si="11"/>
        <v>41</v>
      </c>
      <c r="P39" s="72">
        <f t="shared" si="6"/>
        <v>3</v>
      </c>
      <c r="Q39" s="72">
        <f t="shared" si="7"/>
        <v>5</v>
      </c>
      <c r="R39" s="73">
        <v>1.0</v>
      </c>
      <c r="S39" s="73">
        <v>0.0</v>
      </c>
      <c r="T39" s="73">
        <v>0.0</v>
      </c>
      <c r="U39" s="74">
        <f t="shared" si="12"/>
        <v>9</v>
      </c>
      <c r="V39" s="75"/>
    </row>
    <row r="40" hidden="1">
      <c r="A40" s="65" t="s">
        <v>69</v>
      </c>
      <c r="B40" s="66">
        <v>46175.0</v>
      </c>
      <c r="C40" s="67" t="s">
        <v>54</v>
      </c>
      <c r="D40" s="67" t="s">
        <v>55</v>
      </c>
      <c r="E40" s="68" t="s">
        <v>26</v>
      </c>
      <c r="F40" s="78" t="s">
        <v>59</v>
      </c>
      <c r="G40" s="69" t="s">
        <v>19</v>
      </c>
      <c r="H40" s="69" t="s">
        <v>27</v>
      </c>
      <c r="I40" s="70" t="s">
        <v>70</v>
      </c>
      <c r="J40" s="70" t="s">
        <v>25</v>
      </c>
      <c r="K40" s="69">
        <v>27.4</v>
      </c>
      <c r="L40" s="70" t="s">
        <v>62</v>
      </c>
      <c r="M40" s="70">
        <v>54.0</v>
      </c>
      <c r="N40" s="70">
        <v>14.0</v>
      </c>
      <c r="O40" s="71">
        <f t="shared" si="11"/>
        <v>40</v>
      </c>
      <c r="P40" s="72">
        <f t="shared" si="6"/>
        <v>3</v>
      </c>
      <c r="Q40" s="72">
        <f t="shared" si="7"/>
        <v>0</v>
      </c>
      <c r="R40" s="73">
        <v>0.0</v>
      </c>
      <c r="S40" s="73">
        <v>1.0</v>
      </c>
      <c r="T40" s="73">
        <v>3.0</v>
      </c>
      <c r="U40" s="74">
        <f t="shared" si="12"/>
        <v>7</v>
      </c>
      <c r="V40" s="75"/>
    </row>
    <row r="41" hidden="1">
      <c r="A41" s="65" t="s">
        <v>69</v>
      </c>
      <c r="B41" s="66">
        <v>46175.0</v>
      </c>
      <c r="C41" s="67" t="s">
        <v>54</v>
      </c>
      <c r="D41" s="67" t="s">
        <v>55</v>
      </c>
      <c r="E41" s="68" t="s">
        <v>28</v>
      </c>
      <c r="F41" s="78" t="s">
        <v>61</v>
      </c>
      <c r="G41" s="69" t="s">
        <v>19</v>
      </c>
      <c r="H41" s="69" t="s">
        <v>19</v>
      </c>
      <c r="I41" s="70" t="s">
        <v>19</v>
      </c>
      <c r="J41" s="70" t="s">
        <v>19</v>
      </c>
      <c r="K41" s="69" t="s">
        <v>19</v>
      </c>
      <c r="L41" s="69" t="s">
        <v>57</v>
      </c>
      <c r="M41" s="69" t="s">
        <v>19</v>
      </c>
      <c r="N41" s="69" t="s">
        <v>19</v>
      </c>
      <c r="O41" s="71" t="s">
        <v>19</v>
      </c>
      <c r="P41" s="69">
        <f t="shared" si="6"/>
        <v>0</v>
      </c>
      <c r="Q41" s="79">
        <f t="shared" si="7"/>
        <v>0</v>
      </c>
      <c r="R41" s="80">
        <v>0.0</v>
      </c>
      <c r="S41" s="80">
        <v>0.0</v>
      </c>
      <c r="T41" s="80">
        <v>0.0</v>
      </c>
      <c r="U41" s="77">
        <v>0.0</v>
      </c>
      <c r="V41" s="75"/>
    </row>
    <row r="42" hidden="1">
      <c r="A42" s="65" t="s">
        <v>69</v>
      </c>
      <c r="B42" s="66">
        <v>46175.0</v>
      </c>
      <c r="C42" s="67" t="s">
        <v>54</v>
      </c>
      <c r="D42" s="67" t="s">
        <v>55</v>
      </c>
      <c r="E42" s="68" t="s">
        <v>25</v>
      </c>
      <c r="F42" s="78" t="s">
        <v>59</v>
      </c>
      <c r="G42" s="69" t="s">
        <v>19</v>
      </c>
      <c r="H42" s="69" t="s">
        <v>24</v>
      </c>
      <c r="I42" s="70" t="s">
        <v>26</v>
      </c>
      <c r="J42" s="70" t="s">
        <v>27</v>
      </c>
      <c r="K42" s="69">
        <v>18.3</v>
      </c>
      <c r="L42" s="70" t="s">
        <v>63</v>
      </c>
      <c r="M42" s="70">
        <v>47.0</v>
      </c>
      <c r="N42" s="70">
        <v>13.0</v>
      </c>
      <c r="O42" s="71">
        <f>M42-ROUNDUP(K42/2,0)</f>
        <v>37</v>
      </c>
      <c r="P42" s="72">
        <f t="shared" si="6"/>
        <v>3</v>
      </c>
      <c r="Q42" s="72">
        <f t="shared" si="7"/>
        <v>5</v>
      </c>
      <c r="R42" s="73">
        <v>2.0</v>
      </c>
      <c r="S42" s="73">
        <v>3.0</v>
      </c>
      <c r="T42" s="73">
        <v>4.0</v>
      </c>
      <c r="U42" s="74">
        <f>SUM(P42:T42)</f>
        <v>17</v>
      </c>
      <c r="V42" s="75"/>
    </row>
    <row r="43" hidden="1">
      <c r="A43" s="65" t="s">
        <v>69</v>
      </c>
      <c r="B43" s="66">
        <v>46175.0</v>
      </c>
      <c r="C43" s="67" t="s">
        <v>54</v>
      </c>
      <c r="D43" s="67" t="s">
        <v>55</v>
      </c>
      <c r="E43" s="68" t="s">
        <v>18</v>
      </c>
      <c r="F43" s="78" t="s">
        <v>61</v>
      </c>
      <c r="G43" s="69" t="s">
        <v>19</v>
      </c>
      <c r="H43" s="69" t="s">
        <v>19</v>
      </c>
      <c r="I43" s="70" t="s">
        <v>19</v>
      </c>
      <c r="J43" s="70" t="s">
        <v>19</v>
      </c>
      <c r="K43" s="69" t="s">
        <v>19</v>
      </c>
      <c r="L43" s="69" t="s">
        <v>57</v>
      </c>
      <c r="M43" s="69" t="s">
        <v>19</v>
      </c>
      <c r="N43" s="69" t="s">
        <v>19</v>
      </c>
      <c r="O43" s="71" t="s">
        <v>19</v>
      </c>
      <c r="P43" s="69">
        <f t="shared" si="6"/>
        <v>0</v>
      </c>
      <c r="Q43" s="79">
        <f t="shared" si="7"/>
        <v>0</v>
      </c>
      <c r="R43" s="80">
        <v>0.0</v>
      </c>
      <c r="S43" s="80">
        <v>0.0</v>
      </c>
      <c r="T43" s="80">
        <v>0.0</v>
      </c>
      <c r="U43" s="77">
        <v>0.0</v>
      </c>
      <c r="V43" s="75"/>
    </row>
    <row r="44" hidden="1">
      <c r="A44" s="65" t="s">
        <v>69</v>
      </c>
      <c r="B44" s="66">
        <v>46175.0</v>
      </c>
      <c r="C44" s="67" t="s">
        <v>54</v>
      </c>
      <c r="D44" s="67" t="s">
        <v>55</v>
      </c>
      <c r="E44" s="68" t="s">
        <v>27</v>
      </c>
      <c r="F44" s="78" t="s">
        <v>59</v>
      </c>
      <c r="G44" s="69">
        <v>2.0</v>
      </c>
      <c r="H44" s="69" t="s">
        <v>26</v>
      </c>
      <c r="I44" s="70" t="s">
        <v>70</v>
      </c>
      <c r="J44" s="70" t="s">
        <v>25</v>
      </c>
      <c r="K44" s="69">
        <v>28.8</v>
      </c>
      <c r="L44" s="70" t="s">
        <v>62</v>
      </c>
      <c r="M44" s="70">
        <v>54.0</v>
      </c>
      <c r="N44" s="70">
        <v>17.0</v>
      </c>
      <c r="O44" s="71">
        <f t="shared" ref="O44:O47" si="13">M44-ROUNDUP(K44/2,0)</f>
        <v>39</v>
      </c>
      <c r="P44" s="72">
        <f t="shared" si="6"/>
        <v>3</v>
      </c>
      <c r="Q44" s="72">
        <f t="shared" si="7"/>
        <v>0</v>
      </c>
      <c r="R44" s="73">
        <v>0.0</v>
      </c>
      <c r="S44" s="73">
        <v>2.0</v>
      </c>
      <c r="T44" s="73">
        <v>1.0</v>
      </c>
      <c r="U44" s="74">
        <f t="shared" ref="U44:U79" si="14">SUM(P44:T44)</f>
        <v>6</v>
      </c>
      <c r="V44" s="75"/>
    </row>
    <row r="45" hidden="1">
      <c r="A45" s="65" t="s">
        <v>69</v>
      </c>
      <c r="B45" s="66">
        <v>46175.0</v>
      </c>
      <c r="C45" s="67" t="s">
        <v>54</v>
      </c>
      <c r="D45" s="67" t="s">
        <v>55</v>
      </c>
      <c r="E45" s="68" t="s">
        <v>23</v>
      </c>
      <c r="F45" s="78" t="s">
        <v>59</v>
      </c>
      <c r="G45" s="69" t="s">
        <v>19</v>
      </c>
      <c r="H45" s="69" t="s">
        <v>21</v>
      </c>
      <c r="I45" s="70" t="s">
        <v>20</v>
      </c>
      <c r="J45" s="70" t="s">
        <v>22</v>
      </c>
      <c r="K45" s="69">
        <v>13.4</v>
      </c>
      <c r="L45" s="70" t="s">
        <v>63</v>
      </c>
      <c r="M45" s="70">
        <v>41.0</v>
      </c>
      <c r="N45" s="70">
        <v>17.0</v>
      </c>
      <c r="O45" s="71">
        <f t="shared" si="13"/>
        <v>34</v>
      </c>
      <c r="P45" s="72">
        <f t="shared" si="6"/>
        <v>3</v>
      </c>
      <c r="Q45" s="72">
        <f t="shared" si="7"/>
        <v>5</v>
      </c>
      <c r="R45" s="73">
        <v>6.0</v>
      </c>
      <c r="S45" s="73">
        <v>5.0</v>
      </c>
      <c r="T45" s="73">
        <v>1.0</v>
      </c>
      <c r="U45" s="74">
        <f t="shared" si="14"/>
        <v>20</v>
      </c>
      <c r="V45" s="75"/>
    </row>
    <row r="46" hidden="1">
      <c r="A46" s="65" t="s">
        <v>69</v>
      </c>
      <c r="B46" s="66">
        <v>46175.0</v>
      </c>
      <c r="C46" s="67" t="s">
        <v>54</v>
      </c>
      <c r="D46" s="67" t="s">
        <v>55</v>
      </c>
      <c r="E46" s="68" t="s">
        <v>22</v>
      </c>
      <c r="F46" s="78" t="s">
        <v>59</v>
      </c>
      <c r="G46" s="69" t="s">
        <v>19</v>
      </c>
      <c r="H46" s="69" t="s">
        <v>71</v>
      </c>
      <c r="I46" s="70" t="s">
        <v>23</v>
      </c>
      <c r="J46" s="70" t="s">
        <v>21</v>
      </c>
      <c r="K46" s="69">
        <v>19.0</v>
      </c>
      <c r="L46" s="70" t="s">
        <v>62</v>
      </c>
      <c r="M46" s="70">
        <v>47.0</v>
      </c>
      <c r="N46" s="70">
        <v>19.0</v>
      </c>
      <c r="O46" s="71">
        <f t="shared" si="13"/>
        <v>37</v>
      </c>
      <c r="P46" s="72">
        <f t="shared" si="6"/>
        <v>3</v>
      </c>
      <c r="Q46" s="72">
        <f t="shared" si="7"/>
        <v>0</v>
      </c>
      <c r="R46" s="73">
        <v>2.0</v>
      </c>
      <c r="S46" s="73">
        <v>3.0</v>
      </c>
      <c r="T46" s="73">
        <v>0.0</v>
      </c>
      <c r="U46" s="74">
        <f t="shared" si="14"/>
        <v>8</v>
      </c>
      <c r="V46" s="75"/>
    </row>
    <row r="47" hidden="1">
      <c r="A47" s="65" t="s">
        <v>72</v>
      </c>
      <c r="B47" s="66">
        <v>46168.0</v>
      </c>
      <c r="C47" s="67" t="s">
        <v>73</v>
      </c>
      <c r="D47" s="67" t="s">
        <v>55</v>
      </c>
      <c r="E47" s="81" t="s">
        <v>21</v>
      </c>
      <c r="F47" s="78" t="s">
        <v>59</v>
      </c>
      <c r="G47" s="69" t="s">
        <v>19</v>
      </c>
      <c r="H47" s="69" t="s">
        <v>67</v>
      </c>
      <c r="I47" s="70" t="s">
        <v>24</v>
      </c>
      <c r="J47" s="70" t="s">
        <v>26</v>
      </c>
      <c r="K47" s="69">
        <v>16.1</v>
      </c>
      <c r="L47" s="70" t="s">
        <v>63</v>
      </c>
      <c r="M47" s="70">
        <v>42.0</v>
      </c>
      <c r="N47" s="70">
        <v>20.0</v>
      </c>
      <c r="O47" s="71">
        <f t="shared" si="13"/>
        <v>33</v>
      </c>
      <c r="P47" s="72">
        <f t="shared" si="6"/>
        <v>3</v>
      </c>
      <c r="Q47" s="72">
        <f t="shared" si="7"/>
        <v>5</v>
      </c>
      <c r="R47" s="73">
        <v>3.0</v>
      </c>
      <c r="S47" s="73">
        <v>4.0</v>
      </c>
      <c r="T47" s="82">
        <v>0.0</v>
      </c>
      <c r="U47" s="74">
        <f t="shared" si="14"/>
        <v>15</v>
      </c>
      <c r="V47" s="75"/>
    </row>
    <row r="48" hidden="1">
      <c r="A48" s="65" t="s">
        <v>72</v>
      </c>
      <c r="B48" s="66">
        <v>46168.0</v>
      </c>
      <c r="C48" s="67" t="s">
        <v>73</v>
      </c>
      <c r="D48" s="67" t="s">
        <v>55</v>
      </c>
      <c r="E48" s="81" t="s">
        <v>29</v>
      </c>
      <c r="F48" s="78" t="s">
        <v>61</v>
      </c>
      <c r="G48" s="69" t="s">
        <v>19</v>
      </c>
      <c r="H48" s="69" t="s">
        <v>19</v>
      </c>
      <c r="I48" s="70" t="s">
        <v>19</v>
      </c>
      <c r="J48" s="70" t="s">
        <v>19</v>
      </c>
      <c r="K48" s="69" t="s">
        <v>19</v>
      </c>
      <c r="L48" s="69" t="s">
        <v>57</v>
      </c>
      <c r="M48" s="69" t="s">
        <v>19</v>
      </c>
      <c r="N48" s="69" t="s">
        <v>19</v>
      </c>
      <c r="O48" s="71" t="s">
        <v>19</v>
      </c>
      <c r="P48" s="69">
        <f t="shared" si="6"/>
        <v>0</v>
      </c>
      <c r="Q48" s="80">
        <f t="shared" si="7"/>
        <v>0</v>
      </c>
      <c r="R48" s="80">
        <v>0.0</v>
      </c>
      <c r="S48" s="80">
        <v>0.0</v>
      </c>
      <c r="T48" s="80">
        <v>0.0</v>
      </c>
      <c r="U48" s="74">
        <f t="shared" si="14"/>
        <v>0</v>
      </c>
      <c r="V48" s="75"/>
    </row>
    <row r="49" hidden="1">
      <c r="A49" s="65" t="s">
        <v>72</v>
      </c>
      <c r="B49" s="66">
        <v>46168.0</v>
      </c>
      <c r="C49" s="67" t="s">
        <v>73</v>
      </c>
      <c r="D49" s="67" t="s">
        <v>55</v>
      </c>
      <c r="E49" s="81" t="s">
        <v>20</v>
      </c>
      <c r="F49" s="78" t="s">
        <v>59</v>
      </c>
      <c r="G49" s="69" t="s">
        <v>19</v>
      </c>
      <c r="H49" s="69" t="s">
        <v>67</v>
      </c>
      <c r="I49" s="70" t="s">
        <v>27</v>
      </c>
      <c r="J49" s="70" t="s">
        <v>23</v>
      </c>
      <c r="K49" s="69">
        <v>13.7</v>
      </c>
      <c r="L49" s="70" t="s">
        <v>63</v>
      </c>
      <c r="M49" s="70">
        <v>39.0</v>
      </c>
      <c r="N49" s="70">
        <v>17.0</v>
      </c>
      <c r="O49" s="71">
        <f t="shared" ref="O49:O52" si="15">M49-ROUNDUP(K49/2,0)</f>
        <v>32</v>
      </c>
      <c r="P49" s="72">
        <f t="shared" si="6"/>
        <v>3</v>
      </c>
      <c r="Q49" s="72">
        <f t="shared" si="7"/>
        <v>5</v>
      </c>
      <c r="R49" s="73">
        <v>6.0</v>
      </c>
      <c r="S49" s="73">
        <v>5.0</v>
      </c>
      <c r="T49" s="73">
        <v>3.0</v>
      </c>
      <c r="U49" s="74">
        <f t="shared" si="14"/>
        <v>22</v>
      </c>
      <c r="V49" s="75"/>
    </row>
    <row r="50" hidden="1">
      <c r="A50" s="65" t="s">
        <v>72</v>
      </c>
      <c r="B50" s="66">
        <v>46168.0</v>
      </c>
      <c r="C50" s="67" t="s">
        <v>73</v>
      </c>
      <c r="D50" s="67" t="s">
        <v>55</v>
      </c>
      <c r="E50" s="81" t="s">
        <v>24</v>
      </c>
      <c r="F50" s="78" t="s">
        <v>59</v>
      </c>
      <c r="G50" s="69" t="s">
        <v>19</v>
      </c>
      <c r="H50" s="69" t="s">
        <v>67</v>
      </c>
      <c r="I50" s="70" t="s">
        <v>26</v>
      </c>
      <c r="J50" s="70" t="s">
        <v>21</v>
      </c>
      <c r="K50" s="69">
        <v>13.4</v>
      </c>
      <c r="L50" s="70" t="s">
        <v>62</v>
      </c>
      <c r="M50" s="70">
        <v>44.0</v>
      </c>
      <c r="N50" s="70">
        <v>15.0</v>
      </c>
      <c r="O50" s="71">
        <f t="shared" si="15"/>
        <v>37</v>
      </c>
      <c r="P50" s="72">
        <f t="shared" si="6"/>
        <v>3</v>
      </c>
      <c r="Q50" s="72">
        <f t="shared" si="7"/>
        <v>0</v>
      </c>
      <c r="R50" s="73">
        <v>2.0</v>
      </c>
      <c r="S50" s="73">
        <v>3.0</v>
      </c>
      <c r="T50" s="73">
        <v>4.0</v>
      </c>
      <c r="U50" s="74">
        <f t="shared" si="14"/>
        <v>12</v>
      </c>
      <c r="V50" s="75"/>
    </row>
    <row r="51" hidden="1">
      <c r="A51" s="65" t="s">
        <v>72</v>
      </c>
      <c r="B51" s="66">
        <v>46168.0</v>
      </c>
      <c r="C51" s="67" t="s">
        <v>73</v>
      </c>
      <c r="D51" s="67" t="s">
        <v>55</v>
      </c>
      <c r="E51" s="81" t="s">
        <v>26</v>
      </c>
      <c r="F51" s="78" t="s">
        <v>59</v>
      </c>
      <c r="G51" s="69" t="s">
        <v>19</v>
      </c>
      <c r="H51" s="69" t="s">
        <v>67</v>
      </c>
      <c r="I51" s="70" t="s">
        <v>24</v>
      </c>
      <c r="J51" s="70" t="s">
        <v>21</v>
      </c>
      <c r="K51" s="69">
        <v>27.4</v>
      </c>
      <c r="L51" s="70" t="s">
        <v>62</v>
      </c>
      <c r="M51" s="70">
        <v>54.0</v>
      </c>
      <c r="N51" s="70">
        <v>19.0</v>
      </c>
      <c r="O51" s="71">
        <f t="shared" si="15"/>
        <v>40</v>
      </c>
      <c r="P51" s="83">
        <f t="shared" si="6"/>
        <v>3</v>
      </c>
      <c r="Q51" s="82">
        <f t="shared" si="7"/>
        <v>0</v>
      </c>
      <c r="R51" s="82">
        <v>0.0</v>
      </c>
      <c r="S51" s="82">
        <v>0.0</v>
      </c>
      <c r="T51" s="73">
        <v>1.0</v>
      </c>
      <c r="U51" s="74">
        <f t="shared" si="14"/>
        <v>4</v>
      </c>
      <c r="V51" s="75"/>
    </row>
    <row r="52" hidden="1">
      <c r="A52" s="65" t="s">
        <v>72</v>
      </c>
      <c r="B52" s="66">
        <v>46168.0</v>
      </c>
      <c r="C52" s="67" t="s">
        <v>73</v>
      </c>
      <c r="D52" s="67" t="s">
        <v>55</v>
      </c>
      <c r="E52" s="81" t="s">
        <v>28</v>
      </c>
      <c r="F52" s="78" t="s">
        <v>59</v>
      </c>
      <c r="G52" s="69" t="s">
        <v>19</v>
      </c>
      <c r="H52" s="69" t="s">
        <v>67</v>
      </c>
      <c r="I52" s="70" t="s">
        <v>18</v>
      </c>
      <c r="J52" s="70" t="s">
        <v>22</v>
      </c>
      <c r="K52" s="69">
        <v>28.7</v>
      </c>
      <c r="L52" s="70" t="s">
        <v>60</v>
      </c>
      <c r="M52" s="70">
        <v>52.0</v>
      </c>
      <c r="N52" s="70">
        <v>18.0</v>
      </c>
      <c r="O52" s="71">
        <f t="shared" si="15"/>
        <v>37</v>
      </c>
      <c r="P52" s="82">
        <f t="shared" si="6"/>
        <v>3</v>
      </c>
      <c r="Q52" s="82">
        <f t="shared" si="7"/>
        <v>2</v>
      </c>
      <c r="R52" s="82">
        <v>0.0</v>
      </c>
      <c r="S52" s="73">
        <v>3.0</v>
      </c>
      <c r="T52" s="73">
        <v>2.0</v>
      </c>
      <c r="U52" s="74">
        <f t="shared" si="14"/>
        <v>10</v>
      </c>
      <c r="V52" s="75"/>
    </row>
    <row r="53" hidden="1">
      <c r="A53" s="65" t="s">
        <v>72</v>
      </c>
      <c r="B53" s="66">
        <v>46168.0</v>
      </c>
      <c r="C53" s="67" t="s">
        <v>73</v>
      </c>
      <c r="D53" s="67" t="s">
        <v>55</v>
      </c>
      <c r="E53" s="81" t="s">
        <v>25</v>
      </c>
      <c r="F53" s="78" t="s">
        <v>61</v>
      </c>
      <c r="G53" s="69" t="s">
        <v>19</v>
      </c>
      <c r="H53" s="69" t="s">
        <v>19</v>
      </c>
      <c r="I53" s="70" t="s">
        <v>19</v>
      </c>
      <c r="J53" s="70" t="s">
        <v>19</v>
      </c>
      <c r="K53" s="69" t="s">
        <v>19</v>
      </c>
      <c r="L53" s="69" t="s">
        <v>57</v>
      </c>
      <c r="M53" s="69" t="s">
        <v>19</v>
      </c>
      <c r="N53" s="69" t="s">
        <v>19</v>
      </c>
      <c r="O53" s="71" t="s">
        <v>19</v>
      </c>
      <c r="P53" s="69">
        <f t="shared" si="6"/>
        <v>0</v>
      </c>
      <c r="Q53" s="79">
        <f t="shared" si="7"/>
        <v>0</v>
      </c>
      <c r="R53" s="80">
        <v>0.0</v>
      </c>
      <c r="S53" s="80">
        <v>0.0</v>
      </c>
      <c r="T53" s="80">
        <v>0.0</v>
      </c>
      <c r="U53" s="74">
        <f t="shared" si="14"/>
        <v>0</v>
      </c>
      <c r="V53" s="75"/>
    </row>
    <row r="54" hidden="1">
      <c r="A54" s="65" t="s">
        <v>72</v>
      </c>
      <c r="B54" s="66">
        <v>46168.0</v>
      </c>
      <c r="C54" s="67" t="s">
        <v>73</v>
      </c>
      <c r="D54" s="67" t="s">
        <v>55</v>
      </c>
      <c r="E54" s="81" t="s">
        <v>18</v>
      </c>
      <c r="F54" s="78" t="s">
        <v>59</v>
      </c>
      <c r="G54" s="69" t="s">
        <v>19</v>
      </c>
      <c r="H54" s="69" t="s">
        <v>67</v>
      </c>
      <c r="I54" s="70" t="s">
        <v>22</v>
      </c>
      <c r="J54" s="70" t="s">
        <v>28</v>
      </c>
      <c r="K54" s="69">
        <v>11.7</v>
      </c>
      <c r="L54" s="70" t="s">
        <v>60</v>
      </c>
      <c r="M54" s="70">
        <v>42.0</v>
      </c>
      <c r="N54" s="70">
        <v>17.0</v>
      </c>
      <c r="O54" s="71">
        <f t="shared" ref="O54:O58" si="16">M54-ROUNDUP(K54/2,0)</f>
        <v>36</v>
      </c>
      <c r="P54" s="72">
        <f t="shared" si="6"/>
        <v>3</v>
      </c>
      <c r="Q54" s="72">
        <f t="shared" si="7"/>
        <v>2</v>
      </c>
      <c r="R54" s="73">
        <v>3.0</v>
      </c>
      <c r="S54" s="73">
        <v>4.0</v>
      </c>
      <c r="T54" s="73">
        <v>3.0</v>
      </c>
      <c r="U54" s="74">
        <f t="shared" si="14"/>
        <v>15</v>
      </c>
      <c r="V54" s="75"/>
    </row>
    <row r="55" hidden="1">
      <c r="A55" s="65" t="s">
        <v>72</v>
      </c>
      <c r="B55" s="66">
        <v>46168.0</v>
      </c>
      <c r="C55" s="67" t="s">
        <v>73</v>
      </c>
      <c r="D55" s="67" t="s">
        <v>55</v>
      </c>
      <c r="E55" s="81" t="s">
        <v>27</v>
      </c>
      <c r="F55" s="78" t="s">
        <v>59</v>
      </c>
      <c r="G55" s="69" t="s">
        <v>19</v>
      </c>
      <c r="H55" s="69" t="s">
        <v>67</v>
      </c>
      <c r="I55" s="70" t="s">
        <v>20</v>
      </c>
      <c r="J55" s="70" t="s">
        <v>23</v>
      </c>
      <c r="K55" s="69">
        <v>28.8</v>
      </c>
      <c r="L55" s="70" t="s">
        <v>62</v>
      </c>
      <c r="M55" s="70">
        <v>54.0</v>
      </c>
      <c r="N55" s="70">
        <v>19.0</v>
      </c>
      <c r="O55" s="71">
        <f t="shared" si="16"/>
        <v>39</v>
      </c>
      <c r="P55" s="83">
        <f t="shared" si="6"/>
        <v>3</v>
      </c>
      <c r="Q55" s="84">
        <f t="shared" si="7"/>
        <v>0</v>
      </c>
      <c r="R55" s="82">
        <v>0.0</v>
      </c>
      <c r="S55" s="73">
        <v>2.0</v>
      </c>
      <c r="T55" s="73">
        <v>1.0</v>
      </c>
      <c r="U55" s="74">
        <f t="shared" si="14"/>
        <v>6</v>
      </c>
      <c r="V55" s="75"/>
    </row>
    <row r="56" hidden="1">
      <c r="A56" s="65" t="s">
        <v>72</v>
      </c>
      <c r="B56" s="66">
        <v>46168.0</v>
      </c>
      <c r="C56" s="67" t="s">
        <v>73</v>
      </c>
      <c r="D56" s="67" t="s">
        <v>55</v>
      </c>
      <c r="E56" s="81" t="s">
        <v>23</v>
      </c>
      <c r="F56" s="78" t="s">
        <v>59</v>
      </c>
      <c r="G56" s="69" t="s">
        <v>19</v>
      </c>
      <c r="H56" s="69" t="s">
        <v>67</v>
      </c>
      <c r="I56" s="70" t="s">
        <v>20</v>
      </c>
      <c r="J56" s="70" t="s">
        <v>27</v>
      </c>
      <c r="K56" s="69">
        <v>8.0</v>
      </c>
      <c r="L56" s="70" t="s">
        <v>62</v>
      </c>
      <c r="M56" s="70">
        <v>41.0</v>
      </c>
      <c r="N56" s="70">
        <v>17.0</v>
      </c>
      <c r="O56" s="71">
        <f t="shared" si="16"/>
        <v>37</v>
      </c>
      <c r="P56" s="82">
        <f t="shared" si="6"/>
        <v>3</v>
      </c>
      <c r="Q56" s="82">
        <f t="shared" si="7"/>
        <v>0</v>
      </c>
      <c r="R56" s="73">
        <v>4.0</v>
      </c>
      <c r="S56" s="73">
        <v>3.0</v>
      </c>
      <c r="T56" s="73">
        <v>3.0</v>
      </c>
      <c r="U56" s="74">
        <f t="shared" si="14"/>
        <v>13</v>
      </c>
      <c r="V56" s="75"/>
    </row>
    <row r="57" hidden="1">
      <c r="A57" s="65" t="s">
        <v>72</v>
      </c>
      <c r="B57" s="66">
        <v>46168.0</v>
      </c>
      <c r="C57" s="67" t="s">
        <v>73</v>
      </c>
      <c r="D57" s="67" t="s">
        <v>55</v>
      </c>
      <c r="E57" s="81" t="s">
        <v>22</v>
      </c>
      <c r="F57" s="78" t="s">
        <v>59</v>
      </c>
      <c r="G57" s="69" t="s">
        <v>19</v>
      </c>
      <c r="H57" s="69" t="s">
        <v>67</v>
      </c>
      <c r="I57" s="70" t="s">
        <v>28</v>
      </c>
      <c r="J57" s="70" t="s">
        <v>18</v>
      </c>
      <c r="K57" s="69">
        <v>17.8</v>
      </c>
      <c r="L57" s="70" t="s">
        <v>60</v>
      </c>
      <c r="M57" s="70">
        <v>49.0</v>
      </c>
      <c r="N57" s="70">
        <v>19.0</v>
      </c>
      <c r="O57" s="71">
        <f t="shared" si="16"/>
        <v>40</v>
      </c>
      <c r="P57" s="72">
        <f t="shared" si="6"/>
        <v>3</v>
      </c>
      <c r="Q57" s="72">
        <f t="shared" si="7"/>
        <v>2</v>
      </c>
      <c r="R57" s="73">
        <v>1.0</v>
      </c>
      <c r="S57" s="73">
        <v>1.0</v>
      </c>
      <c r="T57" s="73">
        <v>1.0</v>
      </c>
      <c r="U57" s="74">
        <f t="shared" si="14"/>
        <v>8</v>
      </c>
      <c r="V57" s="75"/>
    </row>
    <row r="58" hidden="1">
      <c r="A58" s="65" t="s">
        <v>74</v>
      </c>
      <c r="B58" s="66">
        <v>46161.0</v>
      </c>
      <c r="C58" s="67" t="s">
        <v>75</v>
      </c>
      <c r="D58" s="68" t="s">
        <v>55</v>
      </c>
      <c r="E58" s="81" t="s">
        <v>21</v>
      </c>
      <c r="F58" s="78" t="s">
        <v>59</v>
      </c>
      <c r="G58" s="69" t="s">
        <v>19</v>
      </c>
      <c r="H58" s="69" t="s">
        <v>67</v>
      </c>
      <c r="I58" s="70" t="s">
        <v>20</v>
      </c>
      <c r="J58" s="70" t="s">
        <v>22</v>
      </c>
      <c r="K58" s="69">
        <v>15.3</v>
      </c>
      <c r="L58" s="70" t="s">
        <v>63</v>
      </c>
      <c r="M58" s="70">
        <v>46.0</v>
      </c>
      <c r="N58" s="70">
        <v>19.0</v>
      </c>
      <c r="O58" s="71">
        <f t="shared" si="16"/>
        <v>38</v>
      </c>
      <c r="P58" s="72">
        <f t="shared" si="6"/>
        <v>3</v>
      </c>
      <c r="Q58" s="72">
        <f t="shared" si="7"/>
        <v>5</v>
      </c>
      <c r="R58" s="76">
        <v>3.0</v>
      </c>
      <c r="S58" s="76">
        <v>4.0</v>
      </c>
      <c r="T58" s="76">
        <v>3.0</v>
      </c>
      <c r="U58" s="74">
        <f t="shared" si="14"/>
        <v>18</v>
      </c>
      <c r="V58" s="85"/>
    </row>
    <row r="59" hidden="1">
      <c r="A59" s="65" t="s">
        <v>74</v>
      </c>
      <c r="B59" s="66">
        <v>46161.0</v>
      </c>
      <c r="C59" s="67" t="s">
        <v>75</v>
      </c>
      <c r="D59" s="68" t="s">
        <v>55</v>
      </c>
      <c r="E59" s="81" t="s">
        <v>29</v>
      </c>
      <c r="F59" s="78" t="s">
        <v>61</v>
      </c>
      <c r="G59" s="69" t="s">
        <v>19</v>
      </c>
      <c r="H59" s="69" t="s">
        <v>19</v>
      </c>
      <c r="I59" s="70" t="s">
        <v>19</v>
      </c>
      <c r="J59" s="70" t="s">
        <v>19</v>
      </c>
      <c r="K59" s="69" t="s">
        <v>19</v>
      </c>
      <c r="L59" s="69" t="s">
        <v>57</v>
      </c>
      <c r="M59" s="69" t="s">
        <v>19</v>
      </c>
      <c r="N59" s="69" t="s">
        <v>19</v>
      </c>
      <c r="O59" s="71" t="s">
        <v>19</v>
      </c>
      <c r="P59" s="69">
        <f t="shared" si="6"/>
        <v>0</v>
      </c>
      <c r="Q59" s="80">
        <f t="shared" si="7"/>
        <v>0</v>
      </c>
      <c r="R59" s="80">
        <v>0.0</v>
      </c>
      <c r="S59" s="80">
        <v>0.0</v>
      </c>
      <c r="T59" s="80">
        <v>0.0</v>
      </c>
      <c r="U59" s="74">
        <f t="shared" si="14"/>
        <v>0</v>
      </c>
      <c r="V59" s="85"/>
    </row>
    <row r="60" hidden="1">
      <c r="A60" s="65" t="s">
        <v>74</v>
      </c>
      <c r="B60" s="66">
        <v>46161.0</v>
      </c>
      <c r="C60" s="67" t="s">
        <v>75</v>
      </c>
      <c r="D60" s="68" t="s">
        <v>55</v>
      </c>
      <c r="E60" s="81" t="s">
        <v>20</v>
      </c>
      <c r="F60" s="78" t="s">
        <v>59</v>
      </c>
      <c r="G60" s="69" t="s">
        <v>19</v>
      </c>
      <c r="H60" s="69" t="s">
        <v>67</v>
      </c>
      <c r="I60" s="70" t="s">
        <v>22</v>
      </c>
      <c r="J60" s="70" t="s">
        <v>21</v>
      </c>
      <c r="K60" s="69">
        <v>13.1</v>
      </c>
      <c r="L60" s="70" t="s">
        <v>62</v>
      </c>
      <c r="M60" s="70">
        <v>45.0</v>
      </c>
      <c r="N60" s="70">
        <v>18.0</v>
      </c>
      <c r="O60" s="71">
        <f t="shared" ref="O60:O61" si="17">M60-ROUNDUP(K60/2,0)</f>
        <v>38</v>
      </c>
      <c r="P60" s="72">
        <f t="shared" si="6"/>
        <v>3</v>
      </c>
      <c r="Q60" s="72">
        <f t="shared" si="7"/>
        <v>0</v>
      </c>
      <c r="R60" s="76">
        <v>4.0</v>
      </c>
      <c r="S60" s="76">
        <v>4.0</v>
      </c>
      <c r="T60" s="76">
        <v>4.0</v>
      </c>
      <c r="U60" s="74">
        <f t="shared" si="14"/>
        <v>15</v>
      </c>
      <c r="V60" s="85"/>
    </row>
    <row r="61" hidden="1">
      <c r="A61" s="65" t="s">
        <v>74</v>
      </c>
      <c r="B61" s="66">
        <v>46161.0</v>
      </c>
      <c r="C61" s="67" t="s">
        <v>75</v>
      </c>
      <c r="D61" s="68" t="s">
        <v>55</v>
      </c>
      <c r="E61" s="81" t="s">
        <v>24</v>
      </c>
      <c r="F61" s="78" t="s">
        <v>59</v>
      </c>
      <c r="G61" s="69" t="s">
        <v>19</v>
      </c>
      <c r="H61" s="69" t="s">
        <v>67</v>
      </c>
      <c r="I61" s="70" t="s">
        <v>18</v>
      </c>
      <c r="J61" s="70" t="s">
        <v>25</v>
      </c>
      <c r="K61" s="69">
        <v>13.6</v>
      </c>
      <c r="L61" s="70" t="s">
        <v>63</v>
      </c>
      <c r="M61" s="70">
        <v>40.0</v>
      </c>
      <c r="N61" s="70">
        <v>19.0</v>
      </c>
      <c r="O61" s="71">
        <f t="shared" si="17"/>
        <v>33</v>
      </c>
      <c r="P61" s="72">
        <f t="shared" si="6"/>
        <v>3</v>
      </c>
      <c r="Q61" s="72">
        <f t="shared" si="7"/>
        <v>5</v>
      </c>
      <c r="R61" s="76">
        <v>6.0</v>
      </c>
      <c r="S61" s="76">
        <v>5.0</v>
      </c>
      <c r="T61" s="76">
        <v>3.0</v>
      </c>
      <c r="U61" s="74">
        <f t="shared" si="14"/>
        <v>22</v>
      </c>
      <c r="V61" s="85"/>
    </row>
    <row r="62" hidden="1">
      <c r="A62" s="65" t="s">
        <v>74</v>
      </c>
      <c r="B62" s="66">
        <v>46161.0</v>
      </c>
      <c r="C62" s="67" t="s">
        <v>75</v>
      </c>
      <c r="D62" s="68" t="s">
        <v>55</v>
      </c>
      <c r="E62" s="81" t="s">
        <v>26</v>
      </c>
      <c r="F62" s="78" t="s">
        <v>61</v>
      </c>
      <c r="G62" s="69" t="s">
        <v>19</v>
      </c>
      <c r="H62" s="69" t="s">
        <v>19</v>
      </c>
      <c r="I62" s="70" t="s">
        <v>19</v>
      </c>
      <c r="J62" s="70" t="s">
        <v>19</v>
      </c>
      <c r="K62" s="69" t="s">
        <v>19</v>
      </c>
      <c r="L62" s="69" t="s">
        <v>57</v>
      </c>
      <c r="M62" s="69" t="s">
        <v>19</v>
      </c>
      <c r="N62" s="69" t="s">
        <v>19</v>
      </c>
      <c r="O62" s="71" t="s">
        <v>19</v>
      </c>
      <c r="P62" s="69">
        <f t="shared" si="6"/>
        <v>0</v>
      </c>
      <c r="Q62" s="80">
        <f t="shared" si="7"/>
        <v>0</v>
      </c>
      <c r="R62" s="80">
        <v>0.0</v>
      </c>
      <c r="S62" s="80">
        <v>0.0</v>
      </c>
      <c r="T62" s="80">
        <v>0.0</v>
      </c>
      <c r="U62" s="74">
        <f t="shared" si="14"/>
        <v>0</v>
      </c>
      <c r="V62" s="85"/>
    </row>
    <row r="63" hidden="1">
      <c r="A63" s="65" t="s">
        <v>74</v>
      </c>
      <c r="B63" s="66">
        <v>46161.0</v>
      </c>
      <c r="C63" s="67" t="s">
        <v>75</v>
      </c>
      <c r="D63" s="68" t="s">
        <v>55</v>
      </c>
      <c r="E63" s="81" t="s">
        <v>28</v>
      </c>
      <c r="F63" s="78" t="s">
        <v>61</v>
      </c>
      <c r="G63" s="69" t="s">
        <v>19</v>
      </c>
      <c r="H63" s="69" t="s">
        <v>19</v>
      </c>
      <c r="I63" s="70" t="s">
        <v>19</v>
      </c>
      <c r="J63" s="70" t="s">
        <v>19</v>
      </c>
      <c r="K63" s="69" t="s">
        <v>19</v>
      </c>
      <c r="L63" s="69" t="s">
        <v>57</v>
      </c>
      <c r="M63" s="69" t="s">
        <v>19</v>
      </c>
      <c r="N63" s="69" t="s">
        <v>19</v>
      </c>
      <c r="O63" s="71" t="s">
        <v>19</v>
      </c>
      <c r="P63" s="69">
        <f t="shared" si="6"/>
        <v>0</v>
      </c>
      <c r="Q63" s="80">
        <f t="shared" si="7"/>
        <v>0</v>
      </c>
      <c r="R63" s="80">
        <v>0.0</v>
      </c>
      <c r="S63" s="80">
        <v>0.0</v>
      </c>
      <c r="T63" s="80">
        <v>0.0</v>
      </c>
      <c r="U63" s="86">
        <f t="shared" si="14"/>
        <v>0</v>
      </c>
      <c r="V63" s="85"/>
    </row>
    <row r="64" hidden="1">
      <c r="A64" s="65" t="s">
        <v>74</v>
      </c>
      <c r="B64" s="66">
        <v>46161.0</v>
      </c>
      <c r="C64" s="67" t="s">
        <v>75</v>
      </c>
      <c r="D64" s="68" t="s">
        <v>55</v>
      </c>
      <c r="E64" s="81" t="s">
        <v>25</v>
      </c>
      <c r="F64" s="78" t="s">
        <v>59</v>
      </c>
      <c r="G64" s="69" t="s">
        <v>19</v>
      </c>
      <c r="H64" s="69" t="s">
        <v>67</v>
      </c>
      <c r="I64" s="70" t="s">
        <v>18</v>
      </c>
      <c r="J64" s="70" t="s">
        <v>24</v>
      </c>
      <c r="K64" s="69">
        <v>18.2</v>
      </c>
      <c r="L64" s="70" t="s">
        <v>62</v>
      </c>
      <c r="M64" s="70">
        <v>50.0</v>
      </c>
      <c r="N64" s="70">
        <v>18.0</v>
      </c>
      <c r="O64" s="71">
        <f t="shared" ref="O64:O65" si="18">M64-ROUNDUP(K64/2,0)</f>
        <v>40</v>
      </c>
      <c r="P64" s="72">
        <f t="shared" si="6"/>
        <v>3</v>
      </c>
      <c r="Q64" s="72">
        <f t="shared" si="7"/>
        <v>0</v>
      </c>
      <c r="R64" s="76">
        <v>2.0</v>
      </c>
      <c r="S64" s="76">
        <v>2.0</v>
      </c>
      <c r="T64" s="76">
        <v>4.0</v>
      </c>
      <c r="U64" s="74">
        <f t="shared" si="14"/>
        <v>11</v>
      </c>
      <c r="V64" s="85"/>
    </row>
    <row r="65" hidden="1">
      <c r="A65" s="65" t="s">
        <v>74</v>
      </c>
      <c r="B65" s="66">
        <v>46161.0</v>
      </c>
      <c r="C65" s="67" t="s">
        <v>75</v>
      </c>
      <c r="D65" s="68" t="s">
        <v>55</v>
      </c>
      <c r="E65" s="81" t="s">
        <v>18</v>
      </c>
      <c r="F65" s="78" t="s">
        <v>59</v>
      </c>
      <c r="G65" s="69" t="s">
        <v>19</v>
      </c>
      <c r="H65" s="69" t="s">
        <v>67</v>
      </c>
      <c r="I65" s="70" t="s">
        <v>25</v>
      </c>
      <c r="J65" s="70" t="s">
        <v>24</v>
      </c>
      <c r="K65" s="69">
        <v>11.6</v>
      </c>
      <c r="L65" s="70" t="s">
        <v>62</v>
      </c>
      <c r="M65" s="70">
        <v>45.0</v>
      </c>
      <c r="N65" s="70">
        <v>19.0</v>
      </c>
      <c r="O65" s="71">
        <f t="shared" si="18"/>
        <v>39</v>
      </c>
      <c r="P65" s="72">
        <f t="shared" si="6"/>
        <v>3</v>
      </c>
      <c r="Q65" s="72">
        <f t="shared" si="7"/>
        <v>0</v>
      </c>
      <c r="R65" s="76">
        <v>4.0</v>
      </c>
      <c r="S65" s="76">
        <v>3.0</v>
      </c>
      <c r="T65" s="76">
        <v>3.0</v>
      </c>
      <c r="U65" s="74">
        <f t="shared" si="14"/>
        <v>13</v>
      </c>
      <c r="V65" s="85"/>
    </row>
    <row r="66" hidden="1">
      <c r="A66" s="65" t="s">
        <v>74</v>
      </c>
      <c r="B66" s="66">
        <v>46161.0</v>
      </c>
      <c r="C66" s="67" t="s">
        <v>75</v>
      </c>
      <c r="D66" s="68" t="s">
        <v>55</v>
      </c>
      <c r="E66" s="81" t="s">
        <v>27</v>
      </c>
      <c r="F66" s="78" t="s">
        <v>61</v>
      </c>
      <c r="G66" s="69" t="s">
        <v>19</v>
      </c>
      <c r="H66" s="69" t="s">
        <v>19</v>
      </c>
      <c r="I66" s="70" t="s">
        <v>19</v>
      </c>
      <c r="J66" s="70" t="s">
        <v>19</v>
      </c>
      <c r="K66" s="69" t="s">
        <v>19</v>
      </c>
      <c r="L66" s="69" t="s">
        <v>57</v>
      </c>
      <c r="M66" s="69" t="s">
        <v>19</v>
      </c>
      <c r="N66" s="69" t="s">
        <v>19</v>
      </c>
      <c r="O66" s="71" t="s">
        <v>19</v>
      </c>
      <c r="P66" s="69">
        <f t="shared" si="6"/>
        <v>0</v>
      </c>
      <c r="Q66" s="87">
        <f t="shared" si="7"/>
        <v>0</v>
      </c>
      <c r="R66" s="80">
        <v>0.0</v>
      </c>
      <c r="S66" s="80">
        <v>0.0</v>
      </c>
      <c r="T66" s="80">
        <v>0.0</v>
      </c>
      <c r="U66" s="74">
        <f t="shared" si="14"/>
        <v>0</v>
      </c>
      <c r="V66" s="85"/>
    </row>
    <row r="67" hidden="1">
      <c r="A67" s="65" t="s">
        <v>74</v>
      </c>
      <c r="B67" s="66">
        <v>46161.0</v>
      </c>
      <c r="C67" s="67" t="s">
        <v>75</v>
      </c>
      <c r="D67" s="68" t="s">
        <v>55</v>
      </c>
      <c r="E67" s="81" t="s">
        <v>23</v>
      </c>
      <c r="F67" s="78" t="s">
        <v>61</v>
      </c>
      <c r="G67" s="69" t="s">
        <v>19</v>
      </c>
      <c r="H67" s="69" t="s">
        <v>19</v>
      </c>
      <c r="I67" s="70" t="s">
        <v>19</v>
      </c>
      <c r="J67" s="70" t="s">
        <v>19</v>
      </c>
      <c r="K67" s="69" t="s">
        <v>19</v>
      </c>
      <c r="L67" s="69" t="s">
        <v>57</v>
      </c>
      <c r="M67" s="69" t="s">
        <v>19</v>
      </c>
      <c r="N67" s="69" t="s">
        <v>19</v>
      </c>
      <c r="O67" s="71" t="s">
        <v>19</v>
      </c>
      <c r="P67" s="69">
        <f t="shared" si="6"/>
        <v>0</v>
      </c>
      <c r="Q67" s="80">
        <f t="shared" si="7"/>
        <v>0</v>
      </c>
      <c r="R67" s="80">
        <v>0.0</v>
      </c>
      <c r="S67" s="80">
        <v>0.0</v>
      </c>
      <c r="T67" s="80">
        <v>0.0</v>
      </c>
      <c r="U67" s="86">
        <f t="shared" si="14"/>
        <v>0</v>
      </c>
      <c r="V67" s="85"/>
    </row>
    <row r="68" hidden="1">
      <c r="A68" s="65" t="s">
        <v>74</v>
      </c>
      <c r="B68" s="66">
        <v>46161.0</v>
      </c>
      <c r="C68" s="67" t="s">
        <v>75</v>
      </c>
      <c r="D68" s="68" t="s">
        <v>55</v>
      </c>
      <c r="E68" s="81" t="s">
        <v>22</v>
      </c>
      <c r="F68" s="78" t="s">
        <v>59</v>
      </c>
      <c r="G68" s="69" t="s">
        <v>19</v>
      </c>
      <c r="H68" s="69" t="s">
        <v>67</v>
      </c>
      <c r="I68" s="70" t="s">
        <v>20</v>
      </c>
      <c r="J68" s="70" t="s">
        <v>21</v>
      </c>
      <c r="K68" s="69">
        <v>17.8</v>
      </c>
      <c r="L68" s="70" t="s">
        <v>62</v>
      </c>
      <c r="M68" s="70">
        <v>52.0</v>
      </c>
      <c r="N68" s="70">
        <v>18.0</v>
      </c>
      <c r="O68" s="71">
        <f t="shared" ref="O68:O73" si="19">M68-ROUNDUP(K68/2,0)</f>
        <v>43</v>
      </c>
      <c r="P68" s="72">
        <f t="shared" si="6"/>
        <v>3</v>
      </c>
      <c r="Q68" s="72">
        <f t="shared" si="7"/>
        <v>0</v>
      </c>
      <c r="R68" s="76">
        <v>1.0</v>
      </c>
      <c r="S68" s="76">
        <v>1.0</v>
      </c>
      <c r="T68" s="76">
        <v>4.0</v>
      </c>
      <c r="U68" s="74">
        <f t="shared" si="14"/>
        <v>9</v>
      </c>
      <c r="V68" s="85"/>
    </row>
    <row r="69" hidden="1">
      <c r="A69" s="88" t="s">
        <v>76</v>
      </c>
      <c r="B69" s="89">
        <v>46154.0</v>
      </c>
      <c r="C69" s="68" t="s">
        <v>73</v>
      </c>
      <c r="D69" s="68" t="s">
        <v>55</v>
      </c>
      <c r="E69" s="68" t="s">
        <v>21</v>
      </c>
      <c r="F69" s="78" t="s">
        <v>59</v>
      </c>
      <c r="G69" s="69" t="s">
        <v>19</v>
      </c>
      <c r="H69" s="69" t="s">
        <v>67</v>
      </c>
      <c r="I69" s="69" t="s">
        <v>29</v>
      </c>
      <c r="J69" s="69" t="s">
        <v>26</v>
      </c>
      <c r="K69" s="69">
        <v>16.8</v>
      </c>
      <c r="L69" s="69" t="s">
        <v>63</v>
      </c>
      <c r="M69" s="69">
        <v>42.0</v>
      </c>
      <c r="N69" s="69">
        <v>21.0</v>
      </c>
      <c r="O69" s="71">
        <f t="shared" si="19"/>
        <v>33</v>
      </c>
      <c r="P69" s="90">
        <f t="shared" si="6"/>
        <v>3</v>
      </c>
      <c r="Q69" s="90">
        <f t="shared" si="7"/>
        <v>5</v>
      </c>
      <c r="R69" s="90">
        <v>4.0</v>
      </c>
      <c r="S69" s="90">
        <v>4.0</v>
      </c>
      <c r="T69" s="90">
        <v>0.0</v>
      </c>
      <c r="U69" s="91">
        <f t="shared" si="14"/>
        <v>16</v>
      </c>
      <c r="V69" s="85"/>
    </row>
    <row r="70" hidden="1">
      <c r="A70" s="88" t="s">
        <v>76</v>
      </c>
      <c r="B70" s="89">
        <v>46154.0</v>
      </c>
      <c r="C70" s="68" t="s">
        <v>73</v>
      </c>
      <c r="D70" s="68" t="s">
        <v>55</v>
      </c>
      <c r="E70" s="68" t="s">
        <v>29</v>
      </c>
      <c r="F70" s="78" t="s">
        <v>59</v>
      </c>
      <c r="G70" s="69" t="s">
        <v>19</v>
      </c>
      <c r="H70" s="69" t="s">
        <v>67</v>
      </c>
      <c r="I70" s="69" t="s">
        <v>21</v>
      </c>
      <c r="J70" s="69" t="s">
        <v>26</v>
      </c>
      <c r="K70" s="69">
        <v>9.1</v>
      </c>
      <c r="L70" s="69" t="s">
        <v>62</v>
      </c>
      <c r="M70" s="69">
        <v>51.0</v>
      </c>
      <c r="N70" s="69">
        <v>16.0</v>
      </c>
      <c r="O70" s="71">
        <f t="shared" si="19"/>
        <v>46</v>
      </c>
      <c r="P70" s="90">
        <f t="shared" si="6"/>
        <v>3</v>
      </c>
      <c r="Q70" s="90">
        <f t="shared" si="7"/>
        <v>0</v>
      </c>
      <c r="R70" s="90">
        <v>2.0</v>
      </c>
      <c r="S70" s="90">
        <v>0.0</v>
      </c>
      <c r="T70" s="90">
        <v>2.0</v>
      </c>
      <c r="U70" s="91">
        <f t="shared" si="14"/>
        <v>7</v>
      </c>
      <c r="V70" s="85"/>
    </row>
    <row r="71" hidden="1">
      <c r="A71" s="88" t="s">
        <v>76</v>
      </c>
      <c r="B71" s="89">
        <v>46154.0</v>
      </c>
      <c r="C71" s="68" t="s">
        <v>73</v>
      </c>
      <c r="D71" s="68" t="s">
        <v>55</v>
      </c>
      <c r="E71" s="68" t="s">
        <v>20</v>
      </c>
      <c r="F71" s="78" t="s">
        <v>59</v>
      </c>
      <c r="G71" s="69" t="s">
        <v>19</v>
      </c>
      <c r="H71" s="69" t="s">
        <v>67</v>
      </c>
      <c r="I71" s="69" t="s">
        <v>25</v>
      </c>
      <c r="J71" s="69" t="s">
        <v>27</v>
      </c>
      <c r="K71" s="69">
        <v>13.9</v>
      </c>
      <c r="L71" s="69" t="s">
        <v>60</v>
      </c>
      <c r="M71" s="69">
        <v>42.0</v>
      </c>
      <c r="N71" s="69">
        <v>18.0</v>
      </c>
      <c r="O71" s="71">
        <f t="shared" si="19"/>
        <v>35</v>
      </c>
      <c r="P71" s="90">
        <f t="shared" si="6"/>
        <v>3</v>
      </c>
      <c r="Q71" s="90">
        <f t="shared" si="7"/>
        <v>2</v>
      </c>
      <c r="R71" s="90">
        <v>4.0</v>
      </c>
      <c r="S71" s="90">
        <v>3.0</v>
      </c>
      <c r="T71" s="90">
        <v>0.0</v>
      </c>
      <c r="U71" s="91">
        <f t="shared" si="14"/>
        <v>12</v>
      </c>
      <c r="V71" s="85"/>
    </row>
    <row r="72" hidden="1">
      <c r="A72" s="88" t="s">
        <v>76</v>
      </c>
      <c r="B72" s="89">
        <v>46154.0</v>
      </c>
      <c r="C72" s="68" t="s">
        <v>73</v>
      </c>
      <c r="D72" s="68" t="s">
        <v>55</v>
      </c>
      <c r="E72" s="68" t="s">
        <v>24</v>
      </c>
      <c r="F72" s="78" t="s">
        <v>59</v>
      </c>
      <c r="G72" s="69" t="s">
        <v>19</v>
      </c>
      <c r="H72" s="69" t="s">
        <v>67</v>
      </c>
      <c r="I72" s="69" t="s">
        <v>22</v>
      </c>
      <c r="J72" s="69" t="s">
        <v>18</v>
      </c>
      <c r="K72" s="69">
        <v>12.7</v>
      </c>
      <c r="L72" s="69" t="s">
        <v>62</v>
      </c>
      <c r="M72" s="69">
        <v>44.0</v>
      </c>
      <c r="N72" s="69">
        <v>15.0</v>
      </c>
      <c r="O72" s="71">
        <f t="shared" si="19"/>
        <v>37</v>
      </c>
      <c r="P72" s="90">
        <f t="shared" si="6"/>
        <v>3</v>
      </c>
      <c r="Q72" s="90">
        <f t="shared" si="7"/>
        <v>0</v>
      </c>
      <c r="R72" s="90">
        <v>3.0</v>
      </c>
      <c r="S72" s="90">
        <v>2.0</v>
      </c>
      <c r="T72" s="90">
        <v>3.0</v>
      </c>
      <c r="U72" s="91">
        <f t="shared" si="14"/>
        <v>11</v>
      </c>
      <c r="V72" s="85"/>
    </row>
    <row r="73" hidden="1">
      <c r="A73" s="88" t="s">
        <v>76</v>
      </c>
      <c r="B73" s="89">
        <v>46154.0</v>
      </c>
      <c r="C73" s="68" t="s">
        <v>73</v>
      </c>
      <c r="D73" s="68" t="s">
        <v>55</v>
      </c>
      <c r="E73" s="68" t="s">
        <v>26</v>
      </c>
      <c r="F73" s="78" t="s">
        <v>59</v>
      </c>
      <c r="G73" s="69" t="s">
        <v>19</v>
      </c>
      <c r="H73" s="69" t="s">
        <v>67</v>
      </c>
      <c r="I73" s="69" t="s">
        <v>29</v>
      </c>
      <c r="J73" s="69" t="s">
        <v>21</v>
      </c>
      <c r="K73" s="69">
        <v>28.0</v>
      </c>
      <c r="L73" s="69" t="s">
        <v>62</v>
      </c>
      <c r="M73" s="69">
        <v>55.0</v>
      </c>
      <c r="N73" s="69">
        <v>18.0</v>
      </c>
      <c r="O73" s="71">
        <f t="shared" si="19"/>
        <v>41</v>
      </c>
      <c r="P73" s="90">
        <f t="shared" si="6"/>
        <v>3</v>
      </c>
      <c r="Q73" s="90">
        <f t="shared" si="7"/>
        <v>0</v>
      </c>
      <c r="R73" s="90">
        <v>1.0</v>
      </c>
      <c r="S73" s="90">
        <v>0.0</v>
      </c>
      <c r="T73" s="90">
        <v>0.0</v>
      </c>
      <c r="U73" s="91">
        <f t="shared" si="14"/>
        <v>4</v>
      </c>
      <c r="V73" s="85"/>
    </row>
    <row r="74" hidden="1">
      <c r="A74" s="88" t="s">
        <v>76</v>
      </c>
      <c r="B74" s="89">
        <v>46154.0</v>
      </c>
      <c r="C74" s="68" t="s">
        <v>73</v>
      </c>
      <c r="D74" s="68" t="s">
        <v>55</v>
      </c>
      <c r="E74" s="68" t="s">
        <v>28</v>
      </c>
      <c r="F74" s="78" t="s">
        <v>61</v>
      </c>
      <c r="G74" s="69" t="s">
        <v>19</v>
      </c>
      <c r="H74" s="69" t="s">
        <v>19</v>
      </c>
      <c r="I74" s="70" t="s">
        <v>19</v>
      </c>
      <c r="J74" s="70" t="s">
        <v>19</v>
      </c>
      <c r="K74" s="69" t="s">
        <v>19</v>
      </c>
      <c r="L74" s="69" t="s">
        <v>57</v>
      </c>
      <c r="M74" s="69" t="s">
        <v>19</v>
      </c>
      <c r="N74" s="69" t="s">
        <v>19</v>
      </c>
      <c r="O74" s="71" t="s">
        <v>19</v>
      </c>
      <c r="P74" s="69">
        <f t="shared" si="6"/>
        <v>0</v>
      </c>
      <c r="Q74" s="69">
        <f t="shared" si="7"/>
        <v>0</v>
      </c>
      <c r="R74" s="69">
        <v>0.0</v>
      </c>
      <c r="S74" s="69">
        <v>0.0</v>
      </c>
      <c r="T74" s="69">
        <v>0.0</v>
      </c>
      <c r="U74" s="91">
        <f t="shared" si="14"/>
        <v>0</v>
      </c>
      <c r="V74" s="85"/>
    </row>
    <row r="75" hidden="1">
      <c r="A75" s="88" t="s">
        <v>76</v>
      </c>
      <c r="B75" s="89">
        <v>46154.0</v>
      </c>
      <c r="C75" s="68" t="s">
        <v>73</v>
      </c>
      <c r="D75" s="68" t="s">
        <v>55</v>
      </c>
      <c r="E75" s="68" t="s">
        <v>25</v>
      </c>
      <c r="F75" s="78" t="s">
        <v>59</v>
      </c>
      <c r="G75" s="69" t="s">
        <v>19</v>
      </c>
      <c r="H75" s="69" t="s">
        <v>67</v>
      </c>
      <c r="I75" s="69" t="s">
        <v>20</v>
      </c>
      <c r="J75" s="69" t="s">
        <v>27</v>
      </c>
      <c r="K75" s="69">
        <v>17.9</v>
      </c>
      <c r="L75" s="69" t="s">
        <v>60</v>
      </c>
      <c r="M75" s="69">
        <v>42.0</v>
      </c>
      <c r="N75" s="69">
        <v>17.0</v>
      </c>
      <c r="O75" s="71">
        <f t="shared" ref="O75:O77" si="20">M75-ROUNDUP(K75/2,0)</f>
        <v>33</v>
      </c>
      <c r="P75" s="90">
        <f t="shared" si="6"/>
        <v>3</v>
      </c>
      <c r="Q75" s="90">
        <f t="shared" si="7"/>
        <v>2</v>
      </c>
      <c r="R75" s="90">
        <v>4.0</v>
      </c>
      <c r="S75" s="90">
        <v>4.0</v>
      </c>
      <c r="T75" s="90">
        <v>1.0</v>
      </c>
      <c r="U75" s="91">
        <f t="shared" si="14"/>
        <v>14</v>
      </c>
      <c r="V75" s="85"/>
    </row>
    <row r="76" hidden="1">
      <c r="A76" s="88" t="s">
        <v>76</v>
      </c>
      <c r="B76" s="89">
        <v>46154.0</v>
      </c>
      <c r="C76" s="68" t="s">
        <v>73</v>
      </c>
      <c r="D76" s="68" t="s">
        <v>55</v>
      </c>
      <c r="E76" s="68" t="s">
        <v>18</v>
      </c>
      <c r="F76" s="78" t="s">
        <v>59</v>
      </c>
      <c r="G76" s="69" t="s">
        <v>19</v>
      </c>
      <c r="H76" s="69" t="s">
        <v>67</v>
      </c>
      <c r="I76" s="69" t="s">
        <v>22</v>
      </c>
      <c r="J76" s="69" t="s">
        <v>24</v>
      </c>
      <c r="K76" s="69">
        <v>10.9</v>
      </c>
      <c r="L76" s="69" t="s">
        <v>62</v>
      </c>
      <c r="M76" s="69">
        <v>44.0</v>
      </c>
      <c r="N76" s="69">
        <v>18.0</v>
      </c>
      <c r="O76" s="71">
        <f t="shared" si="20"/>
        <v>38</v>
      </c>
      <c r="P76" s="90">
        <f t="shared" si="6"/>
        <v>3</v>
      </c>
      <c r="Q76" s="90">
        <f t="shared" si="7"/>
        <v>0</v>
      </c>
      <c r="R76" s="90">
        <v>3.0</v>
      </c>
      <c r="S76" s="90">
        <v>1.0</v>
      </c>
      <c r="T76" s="90">
        <v>0.0</v>
      </c>
      <c r="U76" s="91">
        <f t="shared" si="14"/>
        <v>7</v>
      </c>
      <c r="V76" s="85"/>
    </row>
    <row r="77" hidden="1">
      <c r="A77" s="88" t="s">
        <v>76</v>
      </c>
      <c r="B77" s="89">
        <v>46154.0</v>
      </c>
      <c r="C77" s="68" t="s">
        <v>73</v>
      </c>
      <c r="D77" s="68" t="s">
        <v>55</v>
      </c>
      <c r="E77" s="68" t="s">
        <v>27</v>
      </c>
      <c r="F77" s="78" t="s">
        <v>59</v>
      </c>
      <c r="G77" s="69">
        <v>4.0</v>
      </c>
      <c r="H77" s="69" t="s">
        <v>67</v>
      </c>
      <c r="I77" s="69" t="s">
        <v>25</v>
      </c>
      <c r="J77" s="69" t="s">
        <v>20</v>
      </c>
      <c r="K77" s="69">
        <v>28.0</v>
      </c>
      <c r="L77" s="69" t="s">
        <v>60</v>
      </c>
      <c r="M77" s="69">
        <v>60.0</v>
      </c>
      <c r="N77" s="69">
        <v>18.0</v>
      </c>
      <c r="O77" s="71">
        <f t="shared" si="20"/>
        <v>46</v>
      </c>
      <c r="P77" s="90">
        <f t="shared" si="6"/>
        <v>3</v>
      </c>
      <c r="Q77" s="90">
        <f t="shared" si="7"/>
        <v>2</v>
      </c>
      <c r="R77" s="90">
        <v>0.0</v>
      </c>
      <c r="S77" s="90">
        <v>0.0</v>
      </c>
      <c r="T77" s="90">
        <v>0.0</v>
      </c>
      <c r="U77" s="91">
        <f t="shared" si="14"/>
        <v>5</v>
      </c>
      <c r="V77" s="85"/>
    </row>
    <row r="78" hidden="1">
      <c r="A78" s="88" t="s">
        <v>76</v>
      </c>
      <c r="B78" s="89">
        <v>46154.0</v>
      </c>
      <c r="C78" s="68" t="s">
        <v>73</v>
      </c>
      <c r="D78" s="68" t="s">
        <v>55</v>
      </c>
      <c r="E78" s="68" t="s">
        <v>23</v>
      </c>
      <c r="F78" s="78" t="s">
        <v>61</v>
      </c>
      <c r="G78" s="69" t="s">
        <v>19</v>
      </c>
      <c r="H78" s="69" t="s">
        <v>19</v>
      </c>
      <c r="I78" s="70" t="s">
        <v>19</v>
      </c>
      <c r="J78" s="70" t="s">
        <v>19</v>
      </c>
      <c r="K78" s="69" t="s">
        <v>19</v>
      </c>
      <c r="L78" s="69" t="s">
        <v>57</v>
      </c>
      <c r="M78" s="69" t="s">
        <v>19</v>
      </c>
      <c r="N78" s="69" t="s">
        <v>19</v>
      </c>
      <c r="O78" s="71" t="s">
        <v>19</v>
      </c>
      <c r="P78" s="69">
        <f t="shared" si="6"/>
        <v>0</v>
      </c>
      <c r="Q78" s="69">
        <f t="shared" si="7"/>
        <v>0</v>
      </c>
      <c r="R78" s="69">
        <v>0.0</v>
      </c>
      <c r="S78" s="69">
        <v>0.0</v>
      </c>
      <c r="T78" s="69">
        <v>0.0</v>
      </c>
      <c r="U78" s="91">
        <f t="shared" si="14"/>
        <v>0</v>
      </c>
      <c r="V78" s="85"/>
    </row>
    <row r="79" hidden="1">
      <c r="A79" s="92" t="s">
        <v>76</v>
      </c>
      <c r="B79" s="93">
        <v>46154.0</v>
      </c>
      <c r="C79" s="94" t="s">
        <v>73</v>
      </c>
      <c r="D79" s="68" t="s">
        <v>55</v>
      </c>
      <c r="E79" s="94" t="s">
        <v>22</v>
      </c>
      <c r="F79" s="95" t="s">
        <v>59</v>
      </c>
      <c r="G79" s="96" t="s">
        <v>19</v>
      </c>
      <c r="H79" s="96" t="s">
        <v>67</v>
      </c>
      <c r="I79" s="96" t="s">
        <v>18</v>
      </c>
      <c r="J79" s="96" t="s">
        <v>24</v>
      </c>
      <c r="K79" s="96">
        <v>21.0</v>
      </c>
      <c r="L79" s="96" t="s">
        <v>63</v>
      </c>
      <c r="M79" s="96">
        <v>40.0</v>
      </c>
      <c r="N79" s="96">
        <v>13.0</v>
      </c>
      <c r="O79" s="97">
        <f>M79-ROUNDUP(K79/2,0)</f>
        <v>29</v>
      </c>
      <c r="P79" s="90">
        <f t="shared" si="6"/>
        <v>3</v>
      </c>
      <c r="Q79" s="98">
        <f t="shared" si="7"/>
        <v>5</v>
      </c>
      <c r="R79" s="98">
        <v>6.0</v>
      </c>
      <c r="S79" s="98">
        <v>5.0</v>
      </c>
      <c r="T79" s="98">
        <v>4.0</v>
      </c>
      <c r="U79" s="99">
        <f t="shared" si="14"/>
        <v>23</v>
      </c>
      <c r="V79" s="100"/>
    </row>
  </sheetData>
  <autoFilter ref="$A$2:$U$79">
    <filterColumn colId="0">
      <filters>
        <filter val="W07"/>
      </filters>
    </filterColumn>
    <sortState ref="A2:U79">
      <sortCondition descending="1" ref="A2:A79"/>
      <sortCondition ref="E2:E79"/>
      <sortCondition ref="U2:U79"/>
      <sortCondition ref="F2:F79"/>
      <sortCondition ref="N2:N79"/>
      <sortCondition ref="O2:O79"/>
      <sortCondition ref="M2:M79"/>
      <sortCondition ref="D2:D79"/>
      <sortCondition ref="T2:T79"/>
      <sortCondition ref="S2:S79"/>
      <sortCondition ref="R2:R79"/>
      <sortCondition ref="Q2:Q79"/>
      <sortCondition ref="P2:P79"/>
      <sortCondition ref="L2:L79"/>
      <sortCondition descending="1" ref="H2:H79"/>
      <sortCondition descending="1" ref="C2:C79"/>
      <sortCondition descending="1" ref="B2:B79"/>
    </sortState>
  </autoFilter>
  <mergeCells count="3">
    <mergeCell ref="A1:E1"/>
    <mergeCell ref="F1:O1"/>
    <mergeCell ref="P1:T1"/>
  </mergeCells>
  <conditionalFormatting sqref="P1:P79">
    <cfRule type="cellIs" dxfId="0" priority="1" operator="equal">
      <formula>3</formula>
    </cfRule>
  </conditionalFormatting>
  <conditionalFormatting sqref="Q2:Q79">
    <cfRule type="cellIs" dxfId="0" priority="2" operator="equal">
      <formula>5</formula>
    </cfRule>
  </conditionalFormatting>
  <conditionalFormatting sqref="Q2:Q79">
    <cfRule type="cellIs" dxfId="1" priority="3" operator="equal">
      <formula>2</formula>
    </cfRule>
  </conditionalFormatting>
  <conditionalFormatting sqref="R2:T79">
    <cfRule type="cellIs" dxfId="0" priority="4" operator="greaterThanOrEqual">
      <formula>5</formula>
    </cfRule>
  </conditionalFormatting>
  <conditionalFormatting sqref="R2:T79">
    <cfRule type="cellIs" dxfId="1" priority="5" operator="equal">
      <formula>4</formula>
    </cfRule>
  </conditionalFormatting>
  <conditionalFormatting sqref="R2:T79">
    <cfRule type="cellIs" dxfId="2" priority="6" operator="equal">
      <formula>3</formula>
    </cfRule>
  </conditionalFormatting>
  <conditionalFormatting sqref="R2:T79">
    <cfRule type="cellIs" dxfId="3" priority="7" operator="equal">
      <formula>2</formula>
    </cfRule>
  </conditionalFormatting>
  <conditionalFormatting sqref="R2:T79">
    <cfRule type="cellIs" dxfId="4" priority="8" operator="equal">
      <formula>1</formula>
    </cfRule>
  </conditionalFormatting>
  <conditionalFormatting sqref="P1:U79">
    <cfRule type="cellIs" dxfId="5" priority="9" operator="equal">
      <formula>0</formula>
    </cfRule>
  </conditionalFormatting>
  <dataValidations>
    <dataValidation type="list" allowBlank="1" showErrorMessage="1" sqref="F3:F79">
      <formula1>"Yes,No,Confirmed,unk"</formula1>
    </dataValidation>
    <dataValidation type="list" allowBlank="1" showErrorMessage="1" sqref="L3:L79">
      <formula1>"Tied,Won,Lost,n/a"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14.25"/>
    <col customWidth="1" min="3" max="3" width="4.63"/>
    <col customWidth="1" min="4" max="4" width="16.13"/>
    <col customWidth="1" min="5" max="5" width="3.88"/>
    <col customWidth="1" min="6" max="6" width="15.63"/>
    <col customWidth="1" min="7" max="7" width="3.38"/>
    <col customWidth="1" min="8" max="9" width="7.0"/>
    <col customWidth="1" min="10" max="10" width="6.5"/>
    <col customWidth="1" min="11" max="11" width="2.25"/>
    <col customWidth="1" min="12" max="12" width="6.13"/>
    <col customWidth="1" min="13" max="13" width="5.38"/>
    <col customWidth="1" min="14" max="14" width="6.5"/>
    <col customWidth="1" min="15" max="19" width="6.38"/>
  </cols>
  <sheetData>
    <row r="1" ht="5.25" customHeight="1">
      <c r="A1" s="101" t="s">
        <v>77</v>
      </c>
      <c r="B1" s="102"/>
      <c r="C1" s="102"/>
      <c r="D1" s="102"/>
      <c r="E1" s="102"/>
      <c r="F1" s="102"/>
      <c r="G1" s="103"/>
      <c r="H1" s="104"/>
      <c r="I1" s="104"/>
      <c r="J1" s="104"/>
      <c r="K1" s="104"/>
      <c r="L1" s="104"/>
      <c r="M1" s="104"/>
      <c r="N1" s="104"/>
      <c r="O1" s="103"/>
      <c r="P1" s="103"/>
      <c r="Q1" s="103"/>
      <c r="R1" s="103"/>
      <c r="S1" s="103"/>
    </row>
    <row r="2">
      <c r="A2" s="101"/>
      <c r="B2" s="105" t="s">
        <v>78</v>
      </c>
      <c r="C2" s="7"/>
      <c r="D2" s="7"/>
      <c r="E2" s="7"/>
      <c r="F2" s="7"/>
      <c r="G2" s="7"/>
      <c r="H2" s="7"/>
      <c r="I2" s="7"/>
      <c r="J2" s="7"/>
      <c r="K2" s="106"/>
      <c r="L2" s="106"/>
      <c r="M2" s="106"/>
      <c r="N2" s="107"/>
      <c r="O2" s="103"/>
      <c r="P2" s="103"/>
      <c r="Q2" s="103"/>
      <c r="R2" s="103"/>
      <c r="S2" s="103"/>
    </row>
    <row r="3" ht="7.5" customHeight="1">
      <c r="A3" s="108"/>
      <c r="B3" s="108"/>
      <c r="C3" s="108"/>
      <c r="D3" s="108"/>
      <c r="E3" s="108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</row>
    <row r="4">
      <c r="A4" s="110"/>
      <c r="B4" s="111"/>
      <c r="C4" s="111"/>
      <c r="D4" s="111"/>
      <c r="E4" s="111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</row>
    <row r="5">
      <c r="A5" s="110"/>
      <c r="B5" s="113">
        <v>0.7361111111111112</v>
      </c>
      <c r="C5" s="7"/>
      <c r="D5" s="7"/>
      <c r="E5" s="7"/>
      <c r="F5" s="8"/>
      <c r="G5" s="109"/>
      <c r="H5" s="114" t="str">
        <f t="array" ref="H5">INDEX(B6:F6, MATCH(MIN(B7:F7), B7:F7, 0))</f>
        <v>GT</v>
      </c>
      <c r="I5" s="115" t="s">
        <v>79</v>
      </c>
      <c r="J5" s="116"/>
      <c r="K5" s="117"/>
      <c r="L5" s="117"/>
      <c r="M5" s="117"/>
      <c r="N5" s="112"/>
      <c r="O5" s="112"/>
      <c r="P5" s="112"/>
      <c r="Q5" s="112"/>
      <c r="R5" s="112"/>
      <c r="S5" s="112"/>
    </row>
    <row r="6">
      <c r="A6" s="110"/>
      <c r="B6" s="118" t="s">
        <v>21</v>
      </c>
      <c r="C6" s="119" t="s">
        <v>80</v>
      </c>
      <c r="D6" s="120" t="s">
        <v>24</v>
      </c>
      <c r="E6" s="119" t="s">
        <v>80</v>
      </c>
      <c r="F6" s="121" t="s">
        <v>20</v>
      </c>
      <c r="G6" s="109"/>
      <c r="H6" s="122" t="s">
        <v>20</v>
      </c>
      <c r="I6" s="123">
        <f>MEDIAN(B6:F7)-MIN(B6:F7)</f>
        <v>0</v>
      </c>
      <c r="J6" s="124" t="s">
        <v>81</v>
      </c>
      <c r="K6" s="117"/>
      <c r="L6" s="114" t="s">
        <v>20</v>
      </c>
      <c r="M6" s="115" t="s">
        <v>79</v>
      </c>
      <c r="N6" s="112"/>
      <c r="O6" s="112"/>
      <c r="P6" s="112"/>
      <c r="Q6" s="112"/>
      <c r="R6" s="112"/>
      <c r="S6" s="112"/>
    </row>
    <row r="7">
      <c r="A7" s="110"/>
      <c r="B7" s="125">
        <f t="array" ref="B7">ROUNDUP(XLOOKUP(B6,'Match Generator'!$B$38:$B$48,'Match Generator'!$C$38:$C$48)/2,0)</f>
        <v>8</v>
      </c>
      <c r="C7" s="126"/>
      <c r="D7" s="127">
        <f t="array" ref="D7">ROUNDUP(XLOOKUP(D6,'Match Generator'!$B$38:$B$48,'Match Generator'!$C$38:$C$48)/2,0)</f>
        <v>7</v>
      </c>
      <c r="E7" s="126"/>
      <c r="F7" s="128">
        <f t="array" ref="F7">ROUNDUP(XLOOKUP(F6,'Match Generator'!$B$38:$B$48,'Match Generator'!$C$38:$C$48)/2,0)</f>
        <v>7</v>
      </c>
      <c r="G7" s="109"/>
      <c r="H7" s="129" t="str">
        <f t="array" ref="H7">INDEX(B6:F6, MATCH(MAX(B7:F7), B7:F7, 0))</f>
        <v>Bird</v>
      </c>
      <c r="I7" s="130">
        <f>MAX(B6:F7)-MIN(B6:F7)</f>
        <v>1</v>
      </c>
      <c r="J7" s="131" t="s">
        <v>81</v>
      </c>
      <c r="K7" s="112"/>
      <c r="L7" s="129" t="str">
        <f t="array" ref="L7">INDEX(B6:F6, MATCH(MAX(B7:F7), B7:F7, 0))</f>
        <v>Bird</v>
      </c>
      <c r="M7" s="130">
        <f>MAX(B6:F7)-MEDIAN(B6:F7)</f>
        <v>1</v>
      </c>
      <c r="N7" s="112"/>
      <c r="O7" s="112"/>
      <c r="P7" s="112"/>
      <c r="Q7" s="112"/>
      <c r="R7" s="112"/>
      <c r="S7" s="112"/>
    </row>
    <row r="8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2"/>
      <c r="L8" s="112"/>
      <c r="M8" s="112"/>
      <c r="N8" s="112"/>
      <c r="O8" s="112"/>
      <c r="P8" s="112"/>
      <c r="Q8" s="112"/>
      <c r="R8" s="112"/>
      <c r="S8" s="112"/>
    </row>
    <row r="9">
      <c r="A9" s="110"/>
      <c r="B9" s="113">
        <v>0.7430555555555556</v>
      </c>
      <c r="C9" s="7"/>
      <c r="D9" s="7"/>
      <c r="E9" s="7"/>
      <c r="F9" s="8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</row>
    <row r="10">
      <c r="A10" s="110"/>
      <c r="B10" s="118" t="s">
        <v>25</v>
      </c>
      <c r="C10" s="132"/>
      <c r="D10" s="119" t="s">
        <v>80</v>
      </c>
      <c r="E10" s="133" t="s">
        <v>22</v>
      </c>
      <c r="F10" s="134"/>
      <c r="G10" s="111"/>
      <c r="H10" s="111"/>
      <c r="I10" s="111"/>
      <c r="J10" s="111"/>
      <c r="K10" s="112"/>
      <c r="L10" s="112"/>
      <c r="M10" s="112"/>
      <c r="N10" s="112"/>
      <c r="O10" s="112"/>
      <c r="P10" s="112"/>
      <c r="Q10" s="112"/>
      <c r="R10" s="112"/>
      <c r="S10" s="112"/>
    </row>
    <row r="11">
      <c r="A11" s="110"/>
      <c r="B11" s="125">
        <f t="array" ref="B11">ROUNDUP(XLOOKUP(B10,'Match Generator'!$B$38:$B$48,'Match Generator'!$C$38:$C$48)/2,0)</f>
        <v>10</v>
      </c>
      <c r="C11" s="135"/>
      <c r="D11" s="136">
        <f>ABS(B11-E11)</f>
        <v>0</v>
      </c>
      <c r="E11" s="137">
        <f t="array" ref="E11">ROUNDUP(XLOOKUP(B10,'Match Generator'!$B$38:$B$48,'Match Generator'!$C$38:$C$48)/2,0)</f>
        <v>10</v>
      </c>
      <c r="F11" s="138"/>
      <c r="G11" s="110"/>
      <c r="H11" s="110"/>
      <c r="I11" s="110"/>
      <c r="J11" s="110"/>
      <c r="K11" s="112"/>
      <c r="L11" s="112"/>
      <c r="M11" s="112"/>
      <c r="N11" s="112"/>
      <c r="O11" s="112"/>
      <c r="P11" s="112"/>
      <c r="Q11" s="112"/>
      <c r="R11" s="112"/>
      <c r="S11" s="112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2"/>
      <c r="L12" s="112"/>
      <c r="M12" s="112"/>
      <c r="N12" s="112"/>
      <c r="O12" s="112"/>
      <c r="P12" s="112"/>
      <c r="Q12" s="112"/>
      <c r="R12" s="112"/>
      <c r="S12" s="112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2"/>
      <c r="L13" s="112"/>
      <c r="M13" s="112"/>
      <c r="N13" s="112"/>
      <c r="O13" s="112"/>
      <c r="P13" s="112"/>
      <c r="Q13" s="112"/>
      <c r="R13" s="112"/>
      <c r="S13" s="112"/>
    </row>
    <row r="14">
      <c r="A14" s="110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2"/>
      <c r="L15" s="112"/>
      <c r="M15" s="112"/>
      <c r="N15" s="112"/>
      <c r="O15" s="112"/>
      <c r="P15" s="112"/>
      <c r="Q15" s="112"/>
      <c r="R15" s="112"/>
      <c r="S15" s="112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2"/>
      <c r="L16" s="112"/>
      <c r="M16" s="112"/>
      <c r="N16" s="112"/>
      <c r="O16" s="112"/>
      <c r="P16" s="112"/>
      <c r="Q16" s="112"/>
      <c r="R16" s="112"/>
      <c r="S16" s="112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2"/>
      <c r="L17" s="112"/>
      <c r="M17" s="112"/>
      <c r="N17" s="112"/>
      <c r="O17" s="112"/>
      <c r="P17" s="112"/>
      <c r="Q17" s="112"/>
      <c r="R17" s="112"/>
      <c r="S17" s="112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2"/>
      <c r="L18" s="112"/>
      <c r="M18" s="112"/>
      <c r="N18" s="112"/>
      <c r="O18" s="112"/>
      <c r="P18" s="112"/>
      <c r="Q18" s="112"/>
      <c r="R18" s="112"/>
      <c r="S18" s="112"/>
    </row>
    <row r="19">
      <c r="A19" s="110"/>
      <c r="B19" s="110"/>
      <c r="C19" s="110"/>
      <c r="D19" s="110"/>
      <c r="E19" s="110"/>
      <c r="F19" s="110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</row>
    <row r="20">
      <c r="A20" s="110"/>
      <c r="B20" s="110"/>
      <c r="C20" s="110"/>
      <c r="D20" s="110"/>
      <c r="E20" s="110"/>
      <c r="F20" s="110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</row>
    <row r="21">
      <c r="A21" s="110"/>
      <c r="B21" s="110"/>
      <c r="C21" s="110"/>
      <c r="D21" s="110"/>
      <c r="E21" s="110"/>
      <c r="F21" s="110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</row>
    <row r="22">
      <c r="A22" s="108"/>
      <c r="B22" s="139"/>
      <c r="C22" s="139"/>
      <c r="D22" s="139"/>
      <c r="E22" s="139"/>
      <c r="F22" s="13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</row>
    <row r="23">
      <c r="A23" s="108"/>
      <c r="B23" s="140" t="s">
        <v>82</v>
      </c>
      <c r="C23" s="7"/>
      <c r="D23" s="7"/>
      <c r="E23" s="7"/>
      <c r="F23" s="7"/>
      <c r="G23" s="7"/>
      <c r="H23" s="7"/>
      <c r="I23" s="7"/>
      <c r="J23" s="8"/>
      <c r="K23" s="109"/>
      <c r="L23" s="109"/>
      <c r="M23" s="109"/>
      <c r="N23" s="109"/>
      <c r="O23" s="109"/>
      <c r="P23" s="109"/>
      <c r="Q23" s="109"/>
      <c r="R23" s="109"/>
      <c r="S23" s="109"/>
    </row>
    <row r="24">
      <c r="A24" s="108"/>
      <c r="B24" s="141"/>
      <c r="C24" s="142"/>
      <c r="D24" s="143"/>
      <c r="E24" s="142"/>
      <c r="F24" s="144" t="s">
        <v>80</v>
      </c>
      <c r="G24" s="145"/>
      <c r="H24" s="142"/>
      <c r="I24" s="145"/>
      <c r="J24" s="146"/>
      <c r="K24" s="109"/>
      <c r="L24" s="109"/>
      <c r="M24" s="109"/>
      <c r="N24" s="109"/>
      <c r="O24" s="109"/>
      <c r="P24" s="109"/>
      <c r="Q24" s="109"/>
      <c r="R24" s="109"/>
      <c r="S24" s="109"/>
    </row>
    <row r="25">
      <c r="A25" s="108"/>
      <c r="B25" s="147" t="s">
        <v>83</v>
      </c>
      <c r="C25" s="148" t="str">
        <f t="array" ref="C25">ROUNDUP(XLOOKUP(B24,'Match Generator'!$B$38:$B$48,'Match Generator'!$C$38:$C$48)/2,0)</f>
        <v>#N/A</v>
      </c>
      <c r="D25" s="149" t="s">
        <v>83</v>
      </c>
      <c r="E25" s="148" t="str">
        <f t="array" ref="E25">ROUNDUP(XLOOKUP(D24,'Match Generator'!$B$38:$B$48,'Match Generator'!$C$38:$C$48)/2,0)</f>
        <v>#N/A</v>
      </c>
      <c r="F25" s="150"/>
      <c r="G25" s="151" t="s">
        <v>83</v>
      </c>
      <c r="H25" s="151" t="str">
        <f t="array" ref="H25">ROUNDUP(XLOOKUP(G24,'Match Generator'!$B$38:$B$48,'Match Generator'!$C$38:$C$48)/2,0)</f>
        <v>#N/A</v>
      </c>
      <c r="I25" s="152" t="s">
        <v>83</v>
      </c>
      <c r="J25" s="153" t="str">
        <f t="array" ref="J25">ROUNDUP(XLOOKUP(I24,'Match Generator'!$B$38:$B$48,'Match Generator'!$C$38:$C$48)/2,0)</f>
        <v>#N/A</v>
      </c>
      <c r="K25" s="109"/>
      <c r="L25" s="109"/>
      <c r="M25" s="109"/>
      <c r="N25" s="109"/>
      <c r="O25" s="109"/>
      <c r="P25" s="109"/>
      <c r="Q25" s="109"/>
      <c r="R25" s="109"/>
      <c r="S25" s="109"/>
    </row>
    <row r="26">
      <c r="A26" s="108"/>
      <c r="B26" s="125" t="s">
        <v>84</v>
      </c>
      <c r="C26" s="154" t="str">
        <f>C25-MIN($C25,$E25,$H25,$J25)</f>
        <v>#N/A</v>
      </c>
      <c r="D26" s="155" t="s">
        <v>84</v>
      </c>
      <c r="E26" s="154" t="str">
        <f>E25-MIN($C25,$E25,$H25,$J25)</f>
        <v>#N/A</v>
      </c>
      <c r="F26" s="156"/>
      <c r="G26" s="137" t="s">
        <v>84</v>
      </c>
      <c r="H26" s="137" t="str">
        <f>H25-MIN($C25,$E25,$H25,$J25)</f>
        <v>#N/A</v>
      </c>
      <c r="I26" s="157" t="s">
        <v>84</v>
      </c>
      <c r="J26" s="128" t="str">
        <f>J25-MIN($C25,$E25,$H25,$J25)</f>
        <v>#N/A</v>
      </c>
      <c r="K26" s="109"/>
      <c r="L26" s="109"/>
      <c r="M26" s="109"/>
      <c r="N26" s="109"/>
      <c r="O26" s="109"/>
      <c r="P26" s="109"/>
      <c r="Q26" s="109"/>
      <c r="R26" s="109"/>
      <c r="S26" s="109"/>
    </row>
    <row r="27">
      <c r="A27" s="108"/>
      <c r="B27" s="108"/>
      <c r="C27" s="108"/>
      <c r="D27" s="108"/>
      <c r="E27" s="108"/>
      <c r="F27" s="108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</row>
    <row r="28">
      <c r="A28" s="108"/>
      <c r="B28" s="140" t="s">
        <v>85</v>
      </c>
      <c r="C28" s="7"/>
      <c r="D28" s="7"/>
      <c r="E28" s="7"/>
      <c r="F28" s="8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</row>
    <row r="29">
      <c r="A29" s="108"/>
      <c r="B29" s="118"/>
      <c r="C29" s="132"/>
      <c r="D29" s="119" t="s">
        <v>80</v>
      </c>
      <c r="E29" s="133"/>
      <c r="F29" s="134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</row>
    <row r="30">
      <c r="A30" s="108"/>
      <c r="B30" s="125" t="str">
        <f t="array" ref="B30">ROUNDUP(XLOOKUP(B29,'Match Generator'!$B$38:$B$48,'Match Generator'!$C$38:$C$48)/2,0)</f>
        <v>#N/A</v>
      </c>
      <c r="C30" s="135"/>
      <c r="D30" s="136" t="str">
        <f>ABS(B30-E30)</f>
        <v>#N/A</v>
      </c>
      <c r="E30" s="137" t="str">
        <f t="array" ref="E30">ROUNDUP(XLOOKUP(E29,'Match Generator'!$B$38:$B$48,'Match Generator'!$C$38:$C$48)/2,0)</f>
        <v>#N/A</v>
      </c>
      <c r="F30" s="138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</row>
    <row r="31">
      <c r="A31" s="108"/>
      <c r="B31" s="108"/>
      <c r="C31" s="108"/>
      <c r="D31" s="108"/>
      <c r="E31" s="108"/>
      <c r="F31" s="108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</row>
    <row r="32">
      <c r="A32" s="108"/>
      <c r="B32" s="140" t="s">
        <v>67</v>
      </c>
      <c r="C32" s="7"/>
      <c r="D32" s="7"/>
      <c r="E32" s="7"/>
      <c r="F32" s="8"/>
      <c r="G32" s="109"/>
      <c r="H32" s="114" t="str">
        <f t="array" ref="H32">INDEX(B33:F33, MATCH(MIN(B34:F34), B34:F34, 0))</f>
        <v>#N/A</v>
      </c>
      <c r="I32" s="115" t="s">
        <v>79</v>
      </c>
      <c r="J32" s="116"/>
      <c r="K32" s="117"/>
      <c r="L32" s="117"/>
      <c r="M32" s="117"/>
      <c r="N32" s="117"/>
      <c r="O32" s="109"/>
      <c r="P32" s="109"/>
      <c r="Q32" s="109"/>
      <c r="R32" s="109"/>
      <c r="S32" s="109"/>
    </row>
    <row r="33">
      <c r="A33" s="108"/>
      <c r="B33" s="118"/>
      <c r="C33" s="119" t="s">
        <v>80</v>
      </c>
      <c r="D33" s="120"/>
      <c r="E33" s="119" t="s">
        <v>80</v>
      </c>
      <c r="F33" s="121"/>
      <c r="G33" s="109"/>
      <c r="H33" s="122" t="str">
        <f t="array" ref="H33">INDEX(B33:F33, MATCH(MEDIAN(B34:F34), B34:F34, 0))</f>
        <v>#N/A</v>
      </c>
      <c r="I33" s="123" t="str">
        <f>MEDIAN(B33:F34)-MIN(B33:F34)</f>
        <v>#N/A</v>
      </c>
      <c r="J33" s="124" t="s">
        <v>81</v>
      </c>
      <c r="K33" s="117"/>
      <c r="L33" s="114" t="str">
        <f t="array" ref="L33">INDEX(B33:F33, MATCH(MEDIAN(B34:F34), B34:F34, 0))</f>
        <v>#N/A</v>
      </c>
      <c r="M33" s="115" t="s">
        <v>79</v>
      </c>
      <c r="N33" s="158"/>
      <c r="O33" s="109"/>
      <c r="P33" s="109"/>
      <c r="Q33" s="109"/>
      <c r="R33" s="109"/>
      <c r="S33" s="109"/>
    </row>
    <row r="34">
      <c r="A34" s="108"/>
      <c r="B34" s="125" t="str">
        <f t="array" ref="B34">ROUNDUP(XLOOKUP(B33,'Match Generator'!$B$38:$B$48,'Match Generator'!$C$38:$C$48)/2,0)</f>
        <v>#N/A</v>
      </c>
      <c r="C34" s="126"/>
      <c r="D34" s="127" t="str">
        <f t="array" ref="D34">ROUNDUP(XLOOKUP(D33,'Match Generator'!$B$38:$B$48,'Match Generator'!$C$38:$C$48)/2,0)</f>
        <v>#N/A</v>
      </c>
      <c r="E34" s="126"/>
      <c r="F34" s="128" t="str">
        <f t="array" ref="F34">ROUNDUP(XLOOKUP(F33,'Match Generator'!$B$38:$B$48,'Match Generator'!$C$38:$C$48)/2,0)</f>
        <v>#N/A</v>
      </c>
      <c r="G34" s="109"/>
      <c r="H34" s="129" t="str">
        <f t="array" ref="H34">INDEX(B33:F33, MATCH(MAX(B34:F34), B34:F34, 0))</f>
        <v>#N/A</v>
      </c>
      <c r="I34" s="130" t="str">
        <f>MAX(B33:F34)-MIN(B33:F34)</f>
        <v>#N/A</v>
      </c>
      <c r="J34" s="131" t="s">
        <v>81</v>
      </c>
      <c r="K34" s="112"/>
      <c r="L34" s="129" t="str">
        <f t="array" ref="L34">INDEX(B33:F33, MATCH(MAX(B34:F34), B34:F34, 0))</f>
        <v>#N/A</v>
      </c>
      <c r="M34" s="130" t="str">
        <f>MAX(B33:F34)-MEDIAN(B33:F34)</f>
        <v>#N/A</v>
      </c>
      <c r="N34" s="131" t="s">
        <v>81</v>
      </c>
      <c r="O34" s="109"/>
      <c r="P34" s="109"/>
      <c r="Q34" s="109"/>
      <c r="R34" s="109"/>
      <c r="S34" s="109"/>
    </row>
    <row r="35">
      <c r="A35" s="108"/>
      <c r="B35" s="108"/>
      <c r="C35" s="108"/>
      <c r="D35" s="108"/>
      <c r="E35" s="108"/>
      <c r="F35" s="108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</row>
    <row r="36">
      <c r="A36" s="108"/>
      <c r="B36" s="159"/>
      <c r="C36" s="160" t="s">
        <v>86</v>
      </c>
      <c r="D36" s="161"/>
      <c r="E36" s="161" t="s">
        <v>87</v>
      </c>
      <c r="F36" s="108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</row>
    <row r="37">
      <c r="A37" s="108"/>
      <c r="B37" s="69" t="s">
        <v>22</v>
      </c>
      <c r="C37" s="69">
        <v>19.0</v>
      </c>
      <c r="D37" s="69" t="s">
        <v>59</v>
      </c>
      <c r="E37" s="69">
        <v>3.0</v>
      </c>
      <c r="F37" s="108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</row>
    <row r="38">
      <c r="A38" s="108"/>
      <c r="B38" s="69" t="s">
        <v>25</v>
      </c>
      <c r="C38" s="69">
        <v>18.3</v>
      </c>
      <c r="D38" s="69" t="s">
        <v>59</v>
      </c>
      <c r="E38" s="69">
        <v>4.0</v>
      </c>
      <c r="F38" s="162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</row>
    <row r="39">
      <c r="A39" s="108"/>
      <c r="B39" s="69" t="s">
        <v>21</v>
      </c>
      <c r="C39" s="69">
        <v>15.8</v>
      </c>
      <c r="D39" s="69" t="s">
        <v>59</v>
      </c>
      <c r="E39" s="69">
        <v>9.0</v>
      </c>
      <c r="F39" s="162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</row>
    <row r="40">
      <c r="A40" s="108"/>
      <c r="B40" s="69" t="s">
        <v>24</v>
      </c>
      <c r="C40" s="69">
        <v>13.2</v>
      </c>
      <c r="D40" s="69" t="s">
        <v>59</v>
      </c>
      <c r="E40" s="69">
        <v>2.0</v>
      </c>
      <c r="F40" s="162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</row>
    <row r="41" hidden="1">
      <c r="A41" s="108"/>
      <c r="B41" s="69" t="s">
        <v>26</v>
      </c>
      <c r="C41" s="69">
        <v>27.4</v>
      </c>
      <c r="D41" s="69" t="s">
        <v>61</v>
      </c>
      <c r="E41" s="69">
        <v>5.0</v>
      </c>
      <c r="F41" s="162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</row>
    <row r="42" hidden="1">
      <c r="A42" s="108"/>
      <c r="B42" s="69" t="s">
        <v>29</v>
      </c>
      <c r="C42" s="69">
        <v>10.5</v>
      </c>
      <c r="D42" s="69" t="s">
        <v>61</v>
      </c>
      <c r="E42" s="69">
        <v>6.0</v>
      </c>
      <c r="F42" s="162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</row>
    <row r="43" hidden="1">
      <c r="A43" s="108"/>
      <c r="B43" s="69" t="s">
        <v>27</v>
      </c>
      <c r="C43" s="69">
        <v>33.1</v>
      </c>
      <c r="D43" s="69" t="s">
        <v>61</v>
      </c>
      <c r="E43" s="69">
        <v>7.0</v>
      </c>
      <c r="F43" s="162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</row>
    <row r="44" hidden="1">
      <c r="A44" s="108"/>
      <c r="B44" s="69" t="s">
        <v>18</v>
      </c>
      <c r="C44" s="69">
        <v>11.1</v>
      </c>
      <c r="D44" s="69" t="s">
        <v>61</v>
      </c>
      <c r="E44" s="69">
        <v>8.0</v>
      </c>
      <c r="F44" s="162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</row>
    <row r="45">
      <c r="A45" s="108"/>
      <c r="B45" s="69" t="s">
        <v>20</v>
      </c>
      <c r="C45" s="69">
        <v>13.1</v>
      </c>
      <c r="D45" s="69" t="s">
        <v>59</v>
      </c>
      <c r="E45" s="69">
        <v>1.0</v>
      </c>
      <c r="F45" s="162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</row>
    <row r="46" hidden="1">
      <c r="A46" s="108"/>
      <c r="B46" s="69" t="s">
        <v>28</v>
      </c>
      <c r="C46" s="69">
        <v>24.9</v>
      </c>
      <c r="D46" s="69" t="s">
        <v>61</v>
      </c>
      <c r="E46" s="69">
        <v>10.0</v>
      </c>
      <c r="F46" s="162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</row>
    <row r="47" hidden="1">
      <c r="A47" s="108"/>
      <c r="B47" s="69" t="s">
        <v>23</v>
      </c>
      <c r="C47" s="69">
        <v>11.5</v>
      </c>
      <c r="D47" s="69" t="s">
        <v>61</v>
      </c>
      <c r="E47" s="69">
        <v>11.0</v>
      </c>
      <c r="F47" s="162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</row>
    <row r="48" hidden="1">
      <c r="A48" s="108"/>
      <c r="B48" s="159"/>
      <c r="C48" s="159"/>
      <c r="D48" s="161"/>
      <c r="E48" s="161"/>
      <c r="F48" s="162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</row>
    <row r="49">
      <c r="A49" s="108"/>
      <c r="B49" s="108"/>
      <c r="C49" s="108"/>
      <c r="D49" s="108"/>
      <c r="E49" s="108"/>
      <c r="F49" s="108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</row>
  </sheetData>
  <autoFilter ref="$B$36:$E$48">
    <filterColumn colId="2">
      <filters>
        <filter val="Confirmed"/>
      </filters>
    </filterColumn>
    <sortState ref="B36:E48">
      <sortCondition descending="1" ref="C36:C48"/>
      <sortCondition descending="1" ref="E36:E48"/>
      <sortCondition ref="B36:B48"/>
      <sortCondition ref="D36:D48"/>
    </sortState>
  </autoFilter>
  <mergeCells count="23">
    <mergeCell ref="E10:F10"/>
    <mergeCell ref="E11:F11"/>
    <mergeCell ref="B2:J2"/>
    <mergeCell ref="B5:F5"/>
    <mergeCell ref="C6:C7"/>
    <mergeCell ref="E6:E7"/>
    <mergeCell ref="B9:F9"/>
    <mergeCell ref="B10:C10"/>
    <mergeCell ref="B11:C11"/>
    <mergeCell ref="B29:C29"/>
    <mergeCell ref="E29:F29"/>
    <mergeCell ref="B30:C30"/>
    <mergeCell ref="E30:F30"/>
    <mergeCell ref="B32:F32"/>
    <mergeCell ref="C33:C34"/>
    <mergeCell ref="E33:E34"/>
    <mergeCell ref="B23:J23"/>
    <mergeCell ref="B24:C24"/>
    <mergeCell ref="D24:E24"/>
    <mergeCell ref="F24:F26"/>
    <mergeCell ref="G24:H24"/>
    <mergeCell ref="I24:J24"/>
    <mergeCell ref="B28:F28"/>
  </mergeCells>
  <dataValidations>
    <dataValidation type="list" allowBlank="1" showErrorMessage="1" sqref="D37:D47">
      <formula1>"Yes,No,Confirmed,unk"</formula1>
    </dataValidation>
  </dataValidations>
  <hyperlinks>
    <hyperlink r:id="rId1" ref="C3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7.25"/>
    <col customWidth="1" min="3" max="3" width="3.88"/>
    <col customWidth="1" min="4" max="4" width="6.75"/>
    <col customWidth="1" min="5" max="5" width="5.25"/>
    <col customWidth="1" min="6" max="6" width="5.5"/>
    <col customWidth="1" min="7" max="7" width="7.25"/>
    <col customWidth="1" min="8" max="9" width="7.0"/>
    <col customWidth="1" min="10" max="10" width="6.5"/>
    <col customWidth="1" min="11" max="11" width="2.25"/>
    <col customWidth="1" min="12" max="12" width="6.13"/>
    <col customWidth="1" min="13" max="13" width="5.38"/>
    <col customWidth="1" min="14" max="14" width="6.5"/>
    <col customWidth="1" min="15" max="19" width="6.38"/>
  </cols>
  <sheetData>
    <row r="1" ht="5.25" customHeight="1">
      <c r="A1" s="101" t="s">
        <v>77</v>
      </c>
      <c r="B1" s="102"/>
      <c r="C1" s="102"/>
      <c r="D1" s="102"/>
      <c r="E1" s="102"/>
      <c r="F1" s="102"/>
      <c r="G1" s="103"/>
      <c r="H1" s="104"/>
      <c r="I1" s="104"/>
      <c r="J1" s="104"/>
      <c r="K1" s="104"/>
      <c r="L1" s="104"/>
      <c r="M1" s="104"/>
      <c r="N1" s="104"/>
      <c r="O1" s="103"/>
      <c r="P1" s="103"/>
      <c r="Q1" s="103"/>
      <c r="R1" s="103"/>
      <c r="S1" s="103"/>
    </row>
    <row r="2">
      <c r="A2" s="101"/>
      <c r="B2" s="105" t="s">
        <v>88</v>
      </c>
      <c r="C2" s="7"/>
      <c r="D2" s="7"/>
      <c r="E2" s="7"/>
      <c r="F2" s="7"/>
      <c r="G2" s="7"/>
      <c r="H2" s="7"/>
      <c r="I2" s="7"/>
      <c r="J2" s="7"/>
      <c r="K2" s="106"/>
      <c r="L2" s="106"/>
      <c r="M2" s="106"/>
      <c r="N2" s="107"/>
      <c r="O2" s="103"/>
      <c r="P2" s="103"/>
      <c r="Q2" s="103"/>
      <c r="R2" s="103"/>
      <c r="S2" s="103"/>
    </row>
    <row r="3" ht="7.5" customHeight="1">
      <c r="A3" s="108"/>
      <c r="B3" s="108"/>
      <c r="C3" s="108"/>
      <c r="D3" s="108"/>
      <c r="E3" s="108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</row>
    <row r="4">
      <c r="A4" s="110"/>
      <c r="B4" s="111"/>
      <c r="C4" s="111"/>
      <c r="D4" s="111"/>
      <c r="E4" s="111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</row>
    <row r="5">
      <c r="A5" s="110"/>
      <c r="B5" s="113">
        <v>0.7354166666666667</v>
      </c>
      <c r="C5" s="7"/>
      <c r="D5" s="7"/>
      <c r="E5" s="7"/>
      <c r="F5" s="7"/>
      <c r="G5" s="7"/>
      <c r="H5" s="7"/>
      <c r="I5" s="7"/>
      <c r="J5" s="8"/>
      <c r="K5" s="112"/>
      <c r="L5" s="112"/>
      <c r="M5" s="112"/>
      <c r="N5" s="112"/>
      <c r="O5" s="112"/>
      <c r="P5" s="112"/>
      <c r="Q5" s="112"/>
      <c r="R5" s="112"/>
      <c r="S5" s="112"/>
    </row>
    <row r="6">
      <c r="A6" s="110"/>
      <c r="B6" s="141" t="s">
        <v>25</v>
      </c>
      <c r="C6" s="142"/>
      <c r="D6" s="143" t="s">
        <v>22</v>
      </c>
      <c r="E6" s="142"/>
      <c r="F6" s="144" t="s">
        <v>80</v>
      </c>
      <c r="G6" s="145" t="s">
        <v>26</v>
      </c>
      <c r="H6" s="142"/>
      <c r="I6" s="145" t="s">
        <v>18</v>
      </c>
      <c r="J6" s="146"/>
      <c r="K6" s="112"/>
      <c r="L6" s="112"/>
      <c r="M6" s="112"/>
      <c r="N6" s="112"/>
      <c r="O6" s="112"/>
      <c r="P6" s="112"/>
      <c r="Q6" s="112"/>
      <c r="R6" s="112"/>
      <c r="S6" s="112"/>
    </row>
    <row r="7">
      <c r="A7" s="110"/>
      <c r="B7" s="163" t="s">
        <v>83</v>
      </c>
      <c r="C7" s="148">
        <f t="array" ref="C7">ROUNDUP(XLOOKUP(B6,'Copy of Match Generator'!$B$37:$B$47,'Copy of Match Generator'!$C$37:$C$47)/2,0)</f>
        <v>10</v>
      </c>
      <c r="D7" s="164" t="s">
        <v>83</v>
      </c>
      <c r="E7" s="148">
        <f t="array" ref="E7">ROUNDUP(XLOOKUP(D6,'Copy of Match Generator'!$B$37:$B$47,'Copy of Match Generator'!$C$37:$C$47)/2,0)</f>
        <v>10</v>
      </c>
      <c r="F7" s="150"/>
      <c r="G7" s="165" t="s">
        <v>83</v>
      </c>
      <c r="H7" s="151">
        <f t="array" ref="H7">ROUNDUP(XLOOKUP(G6,'Copy of Match Generator'!$B$37:$B$47,'Copy of Match Generator'!$C$37:$C$47)/2,0)</f>
        <v>14</v>
      </c>
      <c r="I7" s="166" t="s">
        <v>83</v>
      </c>
      <c r="J7" s="153">
        <f t="array" ref="J7">ROUNDUP(XLOOKUP(I6,'Copy of Match Generator'!$B$37:$B$47,'Copy of Match Generator'!$C$37:$C$47)/2,0)</f>
        <v>6</v>
      </c>
      <c r="K7" s="112"/>
      <c r="L7" s="112"/>
      <c r="M7" s="112"/>
      <c r="N7" s="112"/>
      <c r="O7" s="112"/>
      <c r="P7" s="112"/>
      <c r="Q7" s="112"/>
      <c r="R7" s="112"/>
      <c r="S7" s="112"/>
    </row>
    <row r="8">
      <c r="A8" s="110"/>
      <c r="B8" s="167" t="s">
        <v>84</v>
      </c>
      <c r="C8" s="154">
        <f>C7-MIN($C7,$E7,$H7,$J7)</f>
        <v>4</v>
      </c>
      <c r="D8" s="168" t="s">
        <v>84</v>
      </c>
      <c r="E8" s="154">
        <f>E7-MIN($C7,$E7,$H7,$J7)</f>
        <v>4</v>
      </c>
      <c r="F8" s="156"/>
      <c r="G8" s="169" t="s">
        <v>84</v>
      </c>
      <c r="H8" s="137">
        <f>H7-MIN($C7,$E7,$H7,$J7)</f>
        <v>8</v>
      </c>
      <c r="I8" s="170" t="s">
        <v>84</v>
      </c>
      <c r="J8" s="128">
        <f>J7-MIN($C7,$E7,$H7,$J7)</f>
        <v>0</v>
      </c>
      <c r="K8" s="112"/>
      <c r="L8" s="112"/>
      <c r="M8" s="112"/>
      <c r="N8" s="112"/>
      <c r="O8" s="112"/>
      <c r="P8" s="112"/>
      <c r="Q8" s="112"/>
      <c r="R8" s="112"/>
      <c r="S8" s="112"/>
    </row>
    <row r="9">
      <c r="A9" s="110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</row>
    <row r="10">
      <c r="A10" s="110"/>
      <c r="B10" s="113">
        <v>0.7416666666666667</v>
      </c>
      <c r="C10" s="7"/>
      <c r="D10" s="7"/>
      <c r="E10" s="7"/>
      <c r="F10" s="7"/>
      <c r="G10" s="7"/>
      <c r="H10" s="7"/>
      <c r="I10" s="7"/>
      <c r="J10" s="8"/>
      <c r="K10" s="112"/>
      <c r="L10" s="112"/>
      <c r="M10" s="112"/>
      <c r="N10" s="112"/>
      <c r="O10" s="112"/>
      <c r="P10" s="112"/>
      <c r="Q10" s="112"/>
      <c r="R10" s="112"/>
      <c r="S10" s="112"/>
    </row>
    <row r="11">
      <c r="A11" s="110"/>
      <c r="B11" s="141" t="s">
        <v>24</v>
      </c>
      <c r="C11" s="142"/>
      <c r="D11" s="143" t="s">
        <v>20</v>
      </c>
      <c r="E11" s="142"/>
      <c r="F11" s="144" t="s">
        <v>80</v>
      </c>
      <c r="G11" s="145" t="s">
        <v>23</v>
      </c>
      <c r="H11" s="142"/>
      <c r="I11" s="145" t="s">
        <v>28</v>
      </c>
      <c r="J11" s="146"/>
      <c r="K11" s="112"/>
      <c r="L11" s="112"/>
      <c r="M11" s="112"/>
      <c r="N11" s="112"/>
      <c r="O11" s="112"/>
      <c r="P11" s="112"/>
      <c r="Q11" s="112"/>
      <c r="R11" s="112"/>
      <c r="S11" s="112"/>
    </row>
    <row r="12">
      <c r="A12" s="110"/>
      <c r="B12" s="163" t="s">
        <v>83</v>
      </c>
      <c r="C12" s="148">
        <f t="array" ref="C12">ROUNDUP(XLOOKUP(B11,'Copy of Match Generator'!$B$37:$B$47,'Copy of Match Generator'!$C$37:$C$47)/2,0)</f>
        <v>7</v>
      </c>
      <c r="D12" s="164" t="s">
        <v>83</v>
      </c>
      <c r="E12" s="148">
        <f t="array" ref="E12">ROUNDUP(XLOOKUP(D11,'Copy of Match Generator'!$B$37:$B$47,'Copy of Match Generator'!$C$37:$C$47)/2,0)</f>
        <v>7</v>
      </c>
      <c r="F12" s="150"/>
      <c r="G12" s="151" t="s">
        <v>83</v>
      </c>
      <c r="H12" s="151">
        <f t="array" ref="H12">ROUNDUP(XLOOKUP(G11,'Copy of Match Generator'!$B$37:$B$47,'Copy of Match Generator'!$C$37:$C$47)/2,0)</f>
        <v>6</v>
      </c>
      <c r="I12" s="166" t="s">
        <v>83</v>
      </c>
      <c r="J12" s="153">
        <f t="array" ref="J12">ROUNDUP(XLOOKUP(I11,'Copy of Match Generator'!$B$37:$B$47,'Copy of Match Generator'!$C$37:$C$47)/2,0)</f>
        <v>15</v>
      </c>
      <c r="K12" s="112"/>
      <c r="L12" s="112"/>
      <c r="M12" s="112"/>
      <c r="N12" s="112"/>
      <c r="O12" s="112"/>
      <c r="P12" s="112"/>
      <c r="Q12" s="112"/>
      <c r="R12" s="112"/>
      <c r="S12" s="112"/>
    </row>
    <row r="13">
      <c r="A13" s="110"/>
      <c r="B13" s="167" t="s">
        <v>84</v>
      </c>
      <c r="C13" s="154">
        <f>C12-MIN($C12,$E12,$H12,$J12)</f>
        <v>1</v>
      </c>
      <c r="D13" s="168" t="s">
        <v>84</v>
      </c>
      <c r="E13" s="154">
        <f>E12-MIN($C12,$E12,$H12,$J12)</f>
        <v>1</v>
      </c>
      <c r="F13" s="156"/>
      <c r="G13" s="137" t="s">
        <v>84</v>
      </c>
      <c r="H13" s="137">
        <f>H12-MIN($C12,$E12,$H12,$J12)</f>
        <v>0</v>
      </c>
      <c r="I13" s="170" t="s">
        <v>84</v>
      </c>
      <c r="J13" s="128">
        <f>J12-MIN($C12,$E12,$H12,$J12)</f>
        <v>9</v>
      </c>
      <c r="K13" s="112"/>
      <c r="L13" s="112"/>
      <c r="M13" s="112"/>
      <c r="N13" s="112"/>
      <c r="O13" s="112"/>
      <c r="P13" s="112"/>
      <c r="Q13" s="112"/>
      <c r="R13" s="112"/>
      <c r="S13" s="112"/>
    </row>
    <row r="14">
      <c r="A14" s="110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</row>
    <row r="15">
      <c r="A15" s="110"/>
      <c r="B15" s="111"/>
      <c r="C15" s="111"/>
      <c r="D15" s="111"/>
      <c r="E15" s="111"/>
      <c r="F15" s="111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</row>
    <row r="16">
      <c r="A16" s="110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</row>
    <row r="17">
      <c r="A17" s="110"/>
      <c r="B17" s="110"/>
      <c r="C17" s="110"/>
      <c r="D17" s="110"/>
      <c r="E17" s="110"/>
      <c r="F17" s="110"/>
      <c r="G17" s="112"/>
      <c r="H17" s="112"/>
      <c r="I17" s="112"/>
      <c r="J17" s="112"/>
      <c r="K17" s="112"/>
      <c r="L17" s="112"/>
      <c r="M17" s="112"/>
      <c r="N17" s="112"/>
      <c r="O17" s="171"/>
      <c r="P17" s="171"/>
      <c r="Q17" s="171"/>
      <c r="R17" s="171"/>
      <c r="S17" s="171"/>
    </row>
    <row r="18">
      <c r="A18" s="110"/>
      <c r="B18" s="110"/>
      <c r="C18" s="110"/>
      <c r="D18" s="110"/>
      <c r="E18" s="110"/>
      <c r="F18" s="110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</row>
    <row r="19">
      <c r="A19" s="110"/>
      <c r="B19" s="110"/>
      <c r="C19" s="110"/>
      <c r="D19" s="110"/>
      <c r="E19" s="110"/>
      <c r="F19" s="110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</row>
    <row r="20">
      <c r="A20" s="110"/>
      <c r="B20" s="110"/>
      <c r="C20" s="110"/>
      <c r="D20" s="110"/>
      <c r="E20" s="110"/>
      <c r="F20" s="110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</row>
    <row r="21">
      <c r="A21" s="110"/>
      <c r="B21" s="110"/>
      <c r="C21" s="110"/>
      <c r="D21" s="110"/>
      <c r="E21" s="110"/>
      <c r="F21" s="110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</row>
    <row r="22">
      <c r="A22" s="108"/>
      <c r="B22" s="139"/>
      <c r="C22" s="139"/>
      <c r="D22" s="139"/>
      <c r="E22" s="139"/>
      <c r="F22" s="13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</row>
    <row r="23">
      <c r="A23" s="108"/>
      <c r="B23" s="140" t="s">
        <v>82</v>
      </c>
      <c r="C23" s="7"/>
      <c r="D23" s="7"/>
      <c r="E23" s="7"/>
      <c r="F23" s="7"/>
      <c r="G23" s="7"/>
      <c r="H23" s="7"/>
      <c r="I23" s="7"/>
      <c r="J23" s="8"/>
      <c r="K23" s="109"/>
      <c r="L23" s="109"/>
      <c r="M23" s="109"/>
      <c r="N23" s="109"/>
      <c r="O23" s="109"/>
      <c r="P23" s="109"/>
      <c r="Q23" s="109"/>
      <c r="R23" s="109"/>
      <c r="S23" s="109"/>
    </row>
    <row r="24">
      <c r="A24" s="108"/>
      <c r="B24" s="141"/>
      <c r="C24" s="142"/>
      <c r="D24" s="143"/>
      <c r="E24" s="142"/>
      <c r="F24" s="144" t="s">
        <v>80</v>
      </c>
      <c r="G24" s="145"/>
      <c r="H24" s="142"/>
      <c r="I24" s="145"/>
      <c r="J24" s="146"/>
      <c r="K24" s="109"/>
      <c r="L24" s="109"/>
      <c r="M24" s="109"/>
      <c r="N24" s="109"/>
      <c r="O24" s="109"/>
      <c r="P24" s="109"/>
      <c r="Q24" s="109"/>
      <c r="R24" s="109"/>
      <c r="S24" s="109"/>
    </row>
    <row r="25">
      <c r="A25" s="108"/>
      <c r="B25" s="147" t="s">
        <v>83</v>
      </c>
      <c r="C25" s="148" t="str">
        <f t="array" ref="C25">ROUNDUP(XLOOKUP(B24,'Copy of Match Generator'!$B$37:$B$47,'Copy of Match Generator'!$C$37:$C$47)/2,0)</f>
        <v>#N/A</v>
      </c>
      <c r="D25" s="149" t="s">
        <v>83</v>
      </c>
      <c r="E25" s="148" t="str">
        <f t="array" ref="E25">ROUNDUP(XLOOKUP(D24,'Copy of Match Generator'!$B$37:$B$47,'Copy of Match Generator'!$C$37:$C$47)/2,0)</f>
        <v>#N/A</v>
      </c>
      <c r="F25" s="150"/>
      <c r="G25" s="151" t="s">
        <v>83</v>
      </c>
      <c r="H25" s="151" t="str">
        <f t="array" ref="H25">ROUNDUP(XLOOKUP(G24,'Copy of Match Generator'!$B$37:$B$47,'Copy of Match Generator'!$C$37:$C$47)/2,0)</f>
        <v>#N/A</v>
      </c>
      <c r="I25" s="152" t="s">
        <v>83</v>
      </c>
      <c r="J25" s="153" t="str">
        <f t="array" ref="J25">ROUNDUP(XLOOKUP(I24,'Copy of Match Generator'!$B$37:$B$47,'Copy of Match Generator'!$C$37:$C$47)/2,0)</f>
        <v>#N/A</v>
      </c>
      <c r="K25" s="109"/>
      <c r="L25" s="109"/>
      <c r="M25" s="109"/>
      <c r="N25" s="109"/>
      <c r="O25" s="109"/>
      <c r="P25" s="109"/>
      <c r="Q25" s="109"/>
      <c r="R25" s="109"/>
      <c r="S25" s="109"/>
    </row>
    <row r="26">
      <c r="A26" s="108"/>
      <c r="B26" s="125" t="s">
        <v>84</v>
      </c>
      <c r="C26" s="154" t="str">
        <f>C25-MIN($C25,$E25,$H25,$J25)</f>
        <v>#N/A</v>
      </c>
      <c r="D26" s="155" t="s">
        <v>84</v>
      </c>
      <c r="E26" s="154" t="str">
        <f>E25-MIN($C25,$E25,$H25,$J25)</f>
        <v>#N/A</v>
      </c>
      <c r="F26" s="156"/>
      <c r="G26" s="137" t="s">
        <v>84</v>
      </c>
      <c r="H26" s="137" t="str">
        <f>H25-MIN($C25,$E25,$H25,$J25)</f>
        <v>#N/A</v>
      </c>
      <c r="I26" s="157" t="s">
        <v>84</v>
      </c>
      <c r="J26" s="128" t="str">
        <f>J25-MIN($C25,$E25,$H25,$J25)</f>
        <v>#N/A</v>
      </c>
      <c r="K26" s="109"/>
      <c r="L26" s="109"/>
      <c r="M26" s="109"/>
      <c r="N26" s="109"/>
      <c r="O26" s="109"/>
      <c r="P26" s="109"/>
      <c r="Q26" s="109"/>
      <c r="R26" s="109"/>
      <c r="S26" s="109"/>
    </row>
    <row r="27">
      <c r="A27" s="108"/>
      <c r="B27" s="108"/>
      <c r="C27" s="108"/>
      <c r="D27" s="108"/>
      <c r="E27" s="108"/>
      <c r="F27" s="108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</row>
    <row r="28">
      <c r="A28" s="108"/>
      <c r="B28" s="140" t="s">
        <v>85</v>
      </c>
      <c r="C28" s="7"/>
      <c r="D28" s="7"/>
      <c r="E28" s="7"/>
      <c r="F28" s="8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</row>
    <row r="29">
      <c r="A29" s="108"/>
      <c r="B29" s="118"/>
      <c r="C29" s="132"/>
      <c r="D29" s="119" t="s">
        <v>80</v>
      </c>
      <c r="E29" s="133"/>
      <c r="F29" s="134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</row>
    <row r="30">
      <c r="A30" s="108"/>
      <c r="B30" s="125" t="str">
        <f t="array" ref="B30">ROUNDUP(XLOOKUP(B29,'Copy of Match Generator'!$B$37:$B$47,'Copy of Match Generator'!$C$37:$C$47)/2,0)</f>
        <v>#N/A</v>
      </c>
      <c r="C30" s="135"/>
      <c r="D30" s="136" t="str">
        <f>ABS(B30-E30)</f>
        <v>#N/A</v>
      </c>
      <c r="E30" s="137" t="str">
        <f t="array" ref="E30">ROUNDUP(XLOOKUP(E29,'Copy of Match Generator'!$B$37:$B$47,'Copy of Match Generator'!$C$37:$C$47)/2,0)</f>
        <v>#N/A</v>
      </c>
      <c r="F30" s="138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</row>
    <row r="31">
      <c r="A31" s="108"/>
      <c r="B31" s="108"/>
      <c r="C31" s="108"/>
      <c r="D31" s="108"/>
      <c r="E31" s="108"/>
      <c r="F31" s="108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</row>
    <row r="32">
      <c r="A32" s="108"/>
      <c r="B32" s="140" t="s">
        <v>67</v>
      </c>
      <c r="C32" s="7"/>
      <c r="D32" s="7"/>
      <c r="E32" s="7"/>
      <c r="F32" s="8"/>
      <c r="G32" s="109"/>
      <c r="H32" s="114" t="str">
        <f t="array" ref="H32">INDEX(B33:F33, MATCH(MIN(B34:F34), B34:F34, 0))</f>
        <v>Stefan</v>
      </c>
      <c r="I32" s="115" t="s">
        <v>79</v>
      </c>
      <c r="J32" s="116"/>
      <c r="K32" s="117"/>
      <c r="L32" s="117"/>
      <c r="M32" s="117"/>
      <c r="N32" s="117"/>
      <c r="O32" s="109"/>
      <c r="P32" s="109"/>
      <c r="Q32" s="109"/>
      <c r="R32" s="109"/>
      <c r="S32" s="109"/>
    </row>
    <row r="33">
      <c r="A33" s="108"/>
      <c r="B33" s="118" t="s">
        <v>23</v>
      </c>
      <c r="C33" s="119" t="s">
        <v>80</v>
      </c>
      <c r="D33" s="120" t="s">
        <v>20</v>
      </c>
      <c r="E33" s="119" t="s">
        <v>80</v>
      </c>
      <c r="F33" s="121" t="s">
        <v>28</v>
      </c>
      <c r="G33" s="109"/>
      <c r="H33" s="122" t="str">
        <f t="array" ref="H33">INDEX(B33:F33, MATCH(MEDIAN(B34:F34), B34:F34, 0))</f>
        <v>Bryan</v>
      </c>
      <c r="I33" s="123">
        <f>MEDIAN(B33:F34)-MIN(B33:F34)</f>
        <v>1</v>
      </c>
      <c r="J33" s="124" t="s">
        <v>81</v>
      </c>
      <c r="K33" s="117"/>
      <c r="L33" s="114" t="str">
        <f t="array" ref="L33">INDEX(B33:F33, MATCH(MEDIAN(B34:F34), B34:F34, 0))</f>
        <v>Bryan</v>
      </c>
      <c r="M33" s="115" t="s">
        <v>79</v>
      </c>
      <c r="N33" s="158"/>
      <c r="O33" s="109"/>
      <c r="P33" s="109"/>
      <c r="Q33" s="109"/>
      <c r="R33" s="109"/>
      <c r="S33" s="109"/>
    </row>
    <row r="34">
      <c r="A34" s="108"/>
      <c r="B34" s="125">
        <f t="array" ref="B34">ROUNDUP(XLOOKUP(B33,'Copy of Match Generator'!$B$37:$B$47,'Copy of Match Generator'!$C$37:$C$47)/2,0)</f>
        <v>6</v>
      </c>
      <c r="C34" s="126"/>
      <c r="D34" s="127">
        <f t="array" ref="D34">ROUNDUP(XLOOKUP(D33,'Copy of Match Generator'!$B$37:$B$47,'Copy of Match Generator'!$C$37:$C$47)/2,0)</f>
        <v>7</v>
      </c>
      <c r="E34" s="126"/>
      <c r="F34" s="128">
        <f t="array" ref="F34">ROUNDUP(XLOOKUP(F33,'Copy of Match Generator'!$B$37:$B$47,'Copy of Match Generator'!$C$37:$C$47)/2,0)</f>
        <v>15</v>
      </c>
      <c r="G34" s="109"/>
      <c r="H34" s="129" t="str">
        <f t="array" ref="H34">INDEX(B33:F33, MATCH(MAX(B34:F34), B34:F34, 0))</f>
        <v>Jared</v>
      </c>
      <c r="I34" s="130">
        <f>MAX(B33:F34)-MIN(B33:F34)</f>
        <v>9</v>
      </c>
      <c r="J34" s="131" t="s">
        <v>81</v>
      </c>
      <c r="K34" s="112"/>
      <c r="L34" s="129" t="str">
        <f t="array" ref="L34">INDEX(B33:F33, MATCH(MAX(B34:F34), B34:F34, 0))</f>
        <v>Jared</v>
      </c>
      <c r="M34" s="130">
        <f>MAX(B33:F34)-MEDIAN(B33:F34)</f>
        <v>8</v>
      </c>
      <c r="N34" s="131" t="s">
        <v>81</v>
      </c>
      <c r="O34" s="109"/>
      <c r="P34" s="109"/>
      <c r="Q34" s="109"/>
      <c r="R34" s="109"/>
      <c r="S34" s="109"/>
    </row>
    <row r="35">
      <c r="A35" s="108"/>
      <c r="B35" s="108"/>
      <c r="C35" s="108"/>
      <c r="D35" s="108"/>
      <c r="E35" s="108"/>
      <c r="F35" s="108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</row>
    <row r="36">
      <c r="A36" s="108"/>
      <c r="B36" s="159"/>
      <c r="C36" s="160" t="s">
        <v>86</v>
      </c>
      <c r="D36" s="161"/>
      <c r="E36" s="161" t="s">
        <v>87</v>
      </c>
      <c r="F36" s="108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</row>
    <row r="37">
      <c r="A37" s="108"/>
      <c r="B37" s="69" t="s">
        <v>20</v>
      </c>
      <c r="C37" s="69">
        <v>13.1</v>
      </c>
      <c r="D37" s="69" t="s">
        <v>59</v>
      </c>
      <c r="E37" s="69">
        <v>1.0</v>
      </c>
      <c r="F37" s="162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</row>
    <row r="38">
      <c r="A38" s="108"/>
      <c r="B38" s="69" t="s">
        <v>24</v>
      </c>
      <c r="C38" s="69">
        <v>13.3</v>
      </c>
      <c r="D38" s="69" t="s">
        <v>61</v>
      </c>
      <c r="E38" s="69">
        <v>2.0</v>
      </c>
      <c r="F38" s="162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</row>
    <row r="39">
      <c r="A39" s="108"/>
      <c r="B39" s="69" t="s">
        <v>26</v>
      </c>
      <c r="C39" s="69">
        <v>27.4</v>
      </c>
      <c r="D39" s="69" t="s">
        <v>59</v>
      </c>
      <c r="E39" s="69">
        <v>5.0</v>
      </c>
      <c r="F39" s="162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</row>
    <row r="40">
      <c r="A40" s="108"/>
      <c r="B40" s="69" t="s">
        <v>28</v>
      </c>
      <c r="C40" s="69">
        <v>28.9</v>
      </c>
      <c r="D40" s="69" t="s">
        <v>59</v>
      </c>
      <c r="E40" s="69">
        <v>10.0</v>
      </c>
      <c r="F40" s="162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</row>
    <row r="41">
      <c r="A41" s="108"/>
      <c r="B41" s="69" t="s">
        <v>25</v>
      </c>
      <c r="C41" s="69">
        <v>18.1</v>
      </c>
      <c r="D41" s="69" t="s">
        <v>59</v>
      </c>
      <c r="E41" s="69">
        <v>4.0</v>
      </c>
      <c r="F41" s="162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</row>
    <row r="42">
      <c r="A42" s="108"/>
      <c r="B42" s="69" t="s">
        <v>29</v>
      </c>
      <c r="C42" s="69">
        <v>10.0</v>
      </c>
      <c r="D42" s="69" t="s">
        <v>61</v>
      </c>
      <c r="E42" s="69">
        <v>6.0</v>
      </c>
      <c r="F42" s="162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</row>
    <row r="43">
      <c r="A43" s="108"/>
      <c r="B43" s="69" t="s">
        <v>27</v>
      </c>
      <c r="C43" s="69">
        <v>34.5</v>
      </c>
      <c r="D43" s="69" t="s">
        <v>61</v>
      </c>
      <c r="E43" s="69">
        <v>7.0</v>
      </c>
      <c r="F43" s="162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</row>
    <row r="44">
      <c r="A44" s="108"/>
      <c r="B44" s="69" t="s">
        <v>18</v>
      </c>
      <c r="C44" s="69">
        <v>11.5</v>
      </c>
      <c r="D44" s="69" t="s">
        <v>59</v>
      </c>
      <c r="E44" s="69">
        <v>8.0</v>
      </c>
      <c r="F44" s="162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</row>
    <row r="45">
      <c r="A45" s="108"/>
      <c r="B45" s="69" t="s">
        <v>21</v>
      </c>
      <c r="C45" s="69">
        <v>15.8</v>
      </c>
      <c r="D45" s="69" t="s">
        <v>61</v>
      </c>
      <c r="E45" s="69">
        <v>9.0</v>
      </c>
      <c r="F45" s="162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</row>
    <row r="46">
      <c r="A46" s="108"/>
      <c r="B46" s="69" t="s">
        <v>23</v>
      </c>
      <c r="C46" s="69">
        <v>11.7</v>
      </c>
      <c r="D46" s="69" t="s">
        <v>59</v>
      </c>
      <c r="E46" s="69">
        <v>11.0</v>
      </c>
      <c r="F46" s="162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</row>
    <row r="47">
      <c r="A47" s="108"/>
      <c r="B47" s="69" t="s">
        <v>22</v>
      </c>
      <c r="C47" s="69">
        <v>19.0</v>
      </c>
      <c r="D47" s="69" t="s">
        <v>59</v>
      </c>
      <c r="E47" s="69">
        <v>3.0</v>
      </c>
      <c r="F47" s="162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</row>
    <row r="48">
      <c r="A48" s="108"/>
      <c r="B48" s="108"/>
      <c r="C48" s="108"/>
      <c r="D48" s="108"/>
      <c r="E48" s="108"/>
      <c r="F48" s="108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</row>
  </sheetData>
  <autoFilter ref="$B$36:$E$47">
    <sortState ref="B36:E47">
      <sortCondition ref="D36:D47"/>
      <sortCondition ref="B36:B47"/>
      <sortCondition ref="E36:E47"/>
    </sortState>
  </autoFilter>
  <mergeCells count="27">
    <mergeCell ref="B2:J2"/>
    <mergeCell ref="B5:J5"/>
    <mergeCell ref="B6:C6"/>
    <mergeCell ref="D6:E6"/>
    <mergeCell ref="F6:F8"/>
    <mergeCell ref="G6:H6"/>
    <mergeCell ref="I6:J6"/>
    <mergeCell ref="B10:J10"/>
    <mergeCell ref="B11:C11"/>
    <mergeCell ref="D11:E11"/>
    <mergeCell ref="F11:F13"/>
    <mergeCell ref="G11:H11"/>
    <mergeCell ref="I11:J11"/>
    <mergeCell ref="B23:J23"/>
    <mergeCell ref="B29:C29"/>
    <mergeCell ref="B30:C30"/>
    <mergeCell ref="E30:F30"/>
    <mergeCell ref="B32:F32"/>
    <mergeCell ref="C33:C34"/>
    <mergeCell ref="E33:E34"/>
    <mergeCell ref="B24:C24"/>
    <mergeCell ref="D24:E24"/>
    <mergeCell ref="F24:F26"/>
    <mergeCell ref="G24:H24"/>
    <mergeCell ref="I24:J24"/>
    <mergeCell ref="B28:F28"/>
    <mergeCell ref="E29:F29"/>
  </mergeCells>
  <dataValidations>
    <dataValidation type="list" allowBlank="1" showErrorMessage="1" sqref="D37:D47">
      <formula1>"Yes,No,Confirmed,unk"</formula1>
    </dataValidation>
  </dataValidations>
  <hyperlinks>
    <hyperlink r:id="rId1" ref="C3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8.25"/>
    <col customWidth="1" min="3" max="3" width="7.63"/>
    <col customWidth="1" min="4" max="4" width="2.25"/>
    <col customWidth="1" min="5" max="5" width="6.13"/>
    <col customWidth="1" min="6" max="7" width="6.63"/>
    <col customWidth="1" min="8" max="8" width="7.75"/>
    <col customWidth="1" min="9" max="10" width="3.88"/>
  </cols>
  <sheetData>
    <row r="1" ht="10.5" customHeight="1">
      <c r="A1" s="172"/>
      <c r="B1" s="173"/>
      <c r="C1" s="174"/>
      <c r="D1" s="174"/>
      <c r="E1" s="175"/>
      <c r="F1" s="175"/>
      <c r="G1" s="175"/>
      <c r="H1" s="175"/>
      <c r="I1" s="174"/>
      <c r="J1" s="176"/>
    </row>
    <row r="2">
      <c r="A2" s="172"/>
      <c r="B2" s="177" t="s">
        <v>89</v>
      </c>
      <c r="C2" s="178"/>
      <c r="D2" s="174"/>
      <c r="E2" s="179" t="s">
        <v>90</v>
      </c>
      <c r="F2" s="60" t="s">
        <v>91</v>
      </c>
      <c r="G2" s="60" t="s">
        <v>92</v>
      </c>
      <c r="H2" s="61" t="s">
        <v>46</v>
      </c>
      <c r="I2" s="174"/>
      <c r="J2" s="176"/>
    </row>
    <row r="3">
      <c r="A3" s="174"/>
      <c r="B3" s="180" t="s">
        <v>38</v>
      </c>
      <c r="C3" s="181">
        <v>3.0</v>
      </c>
      <c r="D3" s="175"/>
      <c r="E3" s="182">
        <v>1.0</v>
      </c>
      <c r="F3" s="183">
        <v>6.0</v>
      </c>
      <c r="G3" s="183">
        <v>5.0</v>
      </c>
      <c r="H3" s="181">
        <v>4.0</v>
      </c>
      <c r="I3" s="174"/>
      <c r="J3" s="176"/>
    </row>
    <row r="4">
      <c r="A4" s="175"/>
      <c r="B4" s="184" t="s">
        <v>93</v>
      </c>
      <c r="C4" s="185">
        <v>0.0</v>
      </c>
      <c r="D4" s="175"/>
      <c r="E4" s="186">
        <v>2.0</v>
      </c>
      <c r="F4" s="187">
        <v>4.0</v>
      </c>
      <c r="G4" s="187">
        <v>4.0</v>
      </c>
      <c r="H4" s="188">
        <v>3.0</v>
      </c>
      <c r="I4" s="174"/>
      <c r="J4" s="176"/>
    </row>
    <row r="5">
      <c r="A5" s="175"/>
      <c r="B5" s="175"/>
      <c r="C5" s="175"/>
      <c r="D5" s="175"/>
      <c r="E5" s="189">
        <v>3.0</v>
      </c>
      <c r="F5" s="190">
        <v>3.0</v>
      </c>
      <c r="G5" s="190">
        <v>3.0</v>
      </c>
      <c r="H5" s="191">
        <v>2.0</v>
      </c>
      <c r="I5" s="174"/>
      <c r="J5" s="176"/>
    </row>
    <row r="6">
      <c r="A6" s="175"/>
      <c r="B6" s="177" t="s">
        <v>94</v>
      </c>
      <c r="C6" s="178"/>
      <c r="D6" s="175"/>
      <c r="E6" s="192">
        <v>4.0</v>
      </c>
      <c r="F6" s="193">
        <v>2.0</v>
      </c>
      <c r="G6" s="193">
        <v>2.0</v>
      </c>
      <c r="H6" s="194">
        <v>1.0</v>
      </c>
      <c r="I6" s="174"/>
      <c r="J6" s="176"/>
    </row>
    <row r="7">
      <c r="A7" s="175"/>
      <c r="B7" s="180" t="s">
        <v>95</v>
      </c>
      <c r="C7" s="181">
        <v>5.0</v>
      </c>
      <c r="D7" s="175"/>
      <c r="E7" s="195">
        <v>5.0</v>
      </c>
      <c r="F7" s="196">
        <v>1.0</v>
      </c>
      <c r="G7" s="196">
        <v>1.0</v>
      </c>
      <c r="H7" s="197">
        <v>0.0</v>
      </c>
      <c r="I7" s="174"/>
      <c r="J7" s="176"/>
    </row>
    <row r="8">
      <c r="A8" s="175"/>
      <c r="B8" s="180" t="s">
        <v>96</v>
      </c>
      <c r="C8" s="188">
        <v>2.0</v>
      </c>
      <c r="D8" s="175"/>
      <c r="E8" s="198" t="s">
        <v>97</v>
      </c>
      <c r="F8" s="199">
        <v>0.0</v>
      </c>
      <c r="G8" s="199">
        <v>0.0</v>
      </c>
      <c r="H8" s="185">
        <v>0.0</v>
      </c>
      <c r="I8" s="174"/>
      <c r="J8" s="176"/>
    </row>
    <row r="9">
      <c r="A9" s="175"/>
      <c r="B9" s="184" t="s">
        <v>98</v>
      </c>
      <c r="C9" s="185">
        <v>0.0</v>
      </c>
      <c r="D9" s="175"/>
      <c r="E9" s="200"/>
      <c r="F9" s="200"/>
      <c r="G9" s="200"/>
      <c r="H9" s="200"/>
      <c r="I9" s="174"/>
      <c r="J9" s="176"/>
    </row>
    <row r="10">
      <c r="A10" s="175"/>
      <c r="B10" s="175"/>
      <c r="C10" s="175"/>
      <c r="D10" s="175"/>
      <c r="E10" s="9"/>
      <c r="F10" s="9"/>
      <c r="G10" s="9"/>
      <c r="H10" s="9"/>
      <c r="I10" s="174"/>
      <c r="J10" s="176"/>
    </row>
  </sheetData>
  <mergeCells count="2">
    <mergeCell ref="B2:C2"/>
    <mergeCell ref="B6:C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0.0"/>
    <col customWidth="1" min="3" max="4" width="7.13"/>
    <col customWidth="1" min="5" max="5" width="7.25"/>
  </cols>
  <sheetData>
    <row r="1">
      <c r="A1" s="201" t="s">
        <v>35</v>
      </c>
      <c r="B1" s="202" t="s">
        <v>36</v>
      </c>
      <c r="C1" s="203" t="s">
        <v>99</v>
      </c>
      <c r="D1" s="204" t="s">
        <v>100</v>
      </c>
      <c r="E1" s="205" t="s">
        <v>101</v>
      </c>
    </row>
    <row r="2">
      <c r="A2" s="206">
        <v>46147.0</v>
      </c>
      <c r="B2" s="207" t="s">
        <v>102</v>
      </c>
      <c r="C2" s="208" t="s">
        <v>57</v>
      </c>
      <c r="D2" s="209" t="s">
        <v>57</v>
      </c>
      <c r="E2" s="210" t="s">
        <v>57</v>
      </c>
    </row>
    <row r="3">
      <c r="A3" s="211">
        <v>46154.0</v>
      </c>
      <c r="B3" s="212" t="s">
        <v>73</v>
      </c>
      <c r="C3" s="213">
        <v>0.7361111111111112</v>
      </c>
      <c r="D3" s="214">
        <v>0.7430555555555556</v>
      </c>
      <c r="E3" s="215">
        <v>0.75</v>
      </c>
    </row>
    <row r="4">
      <c r="A4" s="211">
        <v>46161.0</v>
      </c>
      <c r="B4" s="212" t="s">
        <v>75</v>
      </c>
      <c r="C4" s="216">
        <v>0.7222222222222222</v>
      </c>
      <c r="D4" s="214">
        <v>0.7291666666666666</v>
      </c>
      <c r="E4" s="217" t="s">
        <v>57</v>
      </c>
    </row>
    <row r="5">
      <c r="A5" s="211">
        <v>46168.0</v>
      </c>
      <c r="B5" s="212" t="s">
        <v>73</v>
      </c>
      <c r="C5" s="213">
        <v>0.7361111111111112</v>
      </c>
      <c r="D5" s="214">
        <v>0.7430555555555556</v>
      </c>
      <c r="E5" s="215">
        <v>0.75</v>
      </c>
    </row>
    <row r="6">
      <c r="A6" s="211">
        <v>46175.0</v>
      </c>
      <c r="B6" s="212" t="s">
        <v>54</v>
      </c>
      <c r="C6" s="213">
        <v>0.7291666666666666</v>
      </c>
      <c r="D6" s="214">
        <v>0.7361111111111112</v>
      </c>
      <c r="E6" s="217" t="s">
        <v>57</v>
      </c>
    </row>
    <row r="7">
      <c r="A7" s="211">
        <v>46182.0</v>
      </c>
      <c r="B7" s="212" t="s">
        <v>65</v>
      </c>
      <c r="C7" s="213">
        <v>0.7354166666666667</v>
      </c>
      <c r="D7" s="214">
        <v>0.7416666666666667</v>
      </c>
      <c r="E7" s="217" t="s">
        <v>57</v>
      </c>
    </row>
    <row r="8">
      <c r="A8" s="211">
        <v>46189.0</v>
      </c>
      <c r="B8" s="212" t="s">
        <v>54</v>
      </c>
      <c r="C8" s="213">
        <v>0.7361111111111112</v>
      </c>
      <c r="D8" s="214">
        <v>0.7430555555555556</v>
      </c>
      <c r="E8" s="217" t="s">
        <v>57</v>
      </c>
    </row>
    <row r="9">
      <c r="A9" s="218">
        <v>46196.0</v>
      </c>
      <c r="B9" s="219" t="s">
        <v>54</v>
      </c>
      <c r="C9" s="220">
        <v>0.2361111111111111</v>
      </c>
      <c r="D9" s="221">
        <v>0.7430555555555556</v>
      </c>
      <c r="E9" s="222">
        <v>0.75</v>
      </c>
    </row>
    <row r="10">
      <c r="A10" s="218">
        <v>46203.0</v>
      </c>
      <c r="B10" s="223"/>
      <c r="C10" s="224"/>
      <c r="D10" s="225"/>
      <c r="E10" s="226"/>
    </row>
    <row r="11">
      <c r="A11" s="218">
        <v>46210.0</v>
      </c>
      <c r="B11" s="223"/>
      <c r="C11" s="224"/>
      <c r="D11" s="225"/>
      <c r="E11" s="226"/>
    </row>
    <row r="12">
      <c r="A12" s="218">
        <v>46217.0</v>
      </c>
      <c r="B12" s="223"/>
      <c r="C12" s="224"/>
      <c r="D12" s="225"/>
      <c r="E12" s="226"/>
    </row>
    <row r="13">
      <c r="A13" s="218">
        <v>46224.0</v>
      </c>
      <c r="B13" s="223"/>
      <c r="C13" s="224"/>
      <c r="D13" s="225"/>
      <c r="E13" s="226"/>
    </row>
    <row r="14">
      <c r="A14" s="218">
        <v>46231.0</v>
      </c>
      <c r="B14" s="223"/>
      <c r="C14" s="224"/>
      <c r="D14" s="225"/>
      <c r="E14" s="226"/>
    </row>
    <row r="15">
      <c r="A15" s="218">
        <v>46238.0</v>
      </c>
      <c r="B15" s="223"/>
      <c r="C15" s="224"/>
      <c r="D15" s="225"/>
      <c r="E15" s="226"/>
    </row>
    <row r="16">
      <c r="A16" s="218">
        <v>46245.0</v>
      </c>
      <c r="B16" s="223"/>
      <c r="C16" s="224"/>
      <c r="D16" s="225"/>
      <c r="E16" s="226"/>
    </row>
    <row r="17">
      <c r="A17" s="218">
        <v>46252.0</v>
      </c>
      <c r="B17" s="223"/>
      <c r="C17" s="224"/>
      <c r="D17" s="225"/>
      <c r="E17" s="226"/>
    </row>
    <row r="18">
      <c r="A18" s="218">
        <v>46259.0</v>
      </c>
      <c r="B18" s="223"/>
      <c r="C18" s="224"/>
      <c r="D18" s="225"/>
      <c r="E18" s="226"/>
    </row>
    <row r="19">
      <c r="A19" s="218">
        <v>46266.0</v>
      </c>
      <c r="B19" s="223"/>
      <c r="C19" s="224"/>
      <c r="D19" s="225"/>
      <c r="E19" s="226"/>
    </row>
    <row r="20">
      <c r="A20" s="218">
        <v>46273.0</v>
      </c>
      <c r="B20" s="223"/>
      <c r="C20" s="224"/>
      <c r="D20" s="225"/>
      <c r="E20" s="226"/>
    </row>
    <row r="21">
      <c r="A21" s="218">
        <v>46280.0</v>
      </c>
      <c r="B21" s="223"/>
      <c r="C21" s="224"/>
      <c r="D21" s="225"/>
      <c r="E21" s="226"/>
    </row>
    <row r="22">
      <c r="A22" s="218">
        <v>46287.0</v>
      </c>
      <c r="B22" s="223"/>
      <c r="C22" s="224"/>
      <c r="D22" s="225"/>
      <c r="E22" s="226"/>
    </row>
    <row r="23">
      <c r="A23" s="227">
        <v>46294.0</v>
      </c>
      <c r="B23" s="228"/>
      <c r="C23" s="229"/>
      <c r="D23" s="230"/>
      <c r="E23" s="2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4.38"/>
    <col customWidth="1" min="3" max="3" width="8.38"/>
    <col customWidth="1" min="4" max="4" width="7.63"/>
    <col customWidth="1" min="5" max="5" width="9.13"/>
  </cols>
  <sheetData>
    <row r="1">
      <c r="A1" s="108"/>
      <c r="B1" s="108"/>
      <c r="C1" s="232"/>
      <c r="D1" s="108"/>
      <c r="E1" s="108"/>
    </row>
    <row r="2">
      <c r="A2" s="108"/>
      <c r="B2" s="233" t="s">
        <v>36</v>
      </c>
      <c r="C2" s="234" t="s">
        <v>103</v>
      </c>
      <c r="D2" s="233" t="s">
        <v>90</v>
      </c>
      <c r="E2" s="235"/>
    </row>
    <row r="3">
      <c r="A3" s="108"/>
      <c r="B3" s="236" t="s">
        <v>104</v>
      </c>
      <c r="C3" s="237" t="s">
        <v>105</v>
      </c>
      <c r="D3" s="236">
        <v>25.5</v>
      </c>
      <c r="E3" s="112"/>
    </row>
    <row r="4">
      <c r="A4" s="108"/>
      <c r="B4" s="236" t="s">
        <v>65</v>
      </c>
      <c r="C4" s="238" t="s">
        <v>106</v>
      </c>
      <c r="D4" s="236">
        <v>24.75</v>
      </c>
      <c r="E4" s="112"/>
    </row>
    <row r="5">
      <c r="A5" s="108"/>
      <c r="B5" s="236" t="s">
        <v>107</v>
      </c>
      <c r="C5" s="237" t="s">
        <v>108</v>
      </c>
      <c r="D5" s="236">
        <v>24.75</v>
      </c>
      <c r="E5" s="117"/>
    </row>
    <row r="6">
      <c r="A6" s="108"/>
      <c r="B6" s="236" t="s">
        <v>102</v>
      </c>
      <c r="C6" s="238" t="s">
        <v>109</v>
      </c>
      <c r="D6" s="236">
        <v>23.25</v>
      </c>
      <c r="E6" s="117"/>
    </row>
    <row r="7">
      <c r="A7" s="108"/>
      <c r="B7" s="236" t="s">
        <v>110</v>
      </c>
      <c r="C7" s="238" t="s">
        <v>105</v>
      </c>
      <c r="D7" s="236">
        <v>22.25</v>
      </c>
      <c r="E7" s="112"/>
    </row>
    <row r="8">
      <c r="A8" s="108"/>
      <c r="B8" s="236" t="s">
        <v>75</v>
      </c>
      <c r="C8" s="237" t="s">
        <v>111</v>
      </c>
      <c r="D8" s="236">
        <v>20.25</v>
      </c>
      <c r="E8" s="117"/>
    </row>
    <row r="9">
      <c r="A9" s="108"/>
      <c r="B9" s="236" t="s">
        <v>112</v>
      </c>
      <c r="C9" s="238" t="s">
        <v>113</v>
      </c>
      <c r="D9" s="236">
        <v>18.75</v>
      </c>
      <c r="E9" s="112"/>
    </row>
    <row r="10">
      <c r="A10" s="108"/>
      <c r="B10" s="236" t="s">
        <v>114</v>
      </c>
      <c r="C10" s="238" t="s">
        <v>105</v>
      </c>
      <c r="D10" s="239">
        <v>18.5</v>
      </c>
      <c r="E10" s="112"/>
    </row>
    <row r="11">
      <c r="A11" s="108"/>
      <c r="B11" s="236" t="s">
        <v>54</v>
      </c>
      <c r="C11" s="237" t="s">
        <v>115</v>
      </c>
      <c r="D11" s="236">
        <v>17.0</v>
      </c>
      <c r="E11" s="112"/>
    </row>
    <row r="12">
      <c r="A12" s="108"/>
      <c r="B12" s="236" t="s">
        <v>116</v>
      </c>
      <c r="C12" s="238" t="s">
        <v>117</v>
      </c>
      <c r="D12" s="236">
        <v>15.0</v>
      </c>
      <c r="E12" s="240"/>
    </row>
    <row r="13">
      <c r="A13" s="108"/>
      <c r="B13" s="236" t="s">
        <v>118</v>
      </c>
      <c r="C13" s="238" t="s">
        <v>119</v>
      </c>
      <c r="D13" s="236">
        <v>13.25</v>
      </c>
      <c r="E13" s="117"/>
    </row>
    <row r="14">
      <c r="A14" s="108"/>
      <c r="B14" s="236" t="s">
        <v>120</v>
      </c>
      <c r="C14" s="237" t="s">
        <v>121</v>
      </c>
      <c r="D14" s="236">
        <v>11.0</v>
      </c>
      <c r="E14" s="117"/>
    </row>
    <row r="15">
      <c r="A15" s="108"/>
      <c r="B15" s="108"/>
      <c r="C15" s="112"/>
      <c r="D15" s="241"/>
      <c r="E15" s="112"/>
    </row>
  </sheetData>
  <autoFilter ref="$B$2:$E$14">
    <sortState ref="B2:E14">
      <sortCondition descending="1" ref="D2:D14"/>
    </sortState>
  </autoFilter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</hyperlink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5"/>
    <col customWidth="1" min="3" max="3" width="8.5"/>
  </cols>
  <sheetData>
    <row r="1">
      <c r="B1" s="236" t="s">
        <v>122</v>
      </c>
      <c r="C1" s="236" t="s">
        <v>87</v>
      </c>
    </row>
    <row r="2">
      <c r="A2" s="242" t="s">
        <v>21</v>
      </c>
      <c r="B2" s="236" t="s">
        <v>123</v>
      </c>
    </row>
    <row r="3">
      <c r="A3" s="242" t="s">
        <v>18</v>
      </c>
      <c r="B3" s="236" t="s">
        <v>123</v>
      </c>
    </row>
    <row r="4" hidden="1">
      <c r="A4" s="242" t="s">
        <v>22</v>
      </c>
      <c r="B4" s="236" t="s">
        <v>123</v>
      </c>
      <c r="C4" s="236" t="s">
        <v>123</v>
      </c>
    </row>
    <row r="5" hidden="1">
      <c r="A5" s="242" t="s">
        <v>25</v>
      </c>
      <c r="B5" s="236" t="s">
        <v>123</v>
      </c>
      <c r="C5" s="236" t="s">
        <v>123</v>
      </c>
    </row>
    <row r="6" hidden="1">
      <c r="A6" s="242" t="s">
        <v>24</v>
      </c>
      <c r="B6" s="236" t="s">
        <v>123</v>
      </c>
      <c r="C6" s="236" t="s">
        <v>123</v>
      </c>
    </row>
    <row r="7" hidden="1">
      <c r="A7" s="242" t="s">
        <v>26</v>
      </c>
      <c r="B7" s="236" t="s">
        <v>123</v>
      </c>
      <c r="C7" s="236" t="s">
        <v>123</v>
      </c>
    </row>
    <row r="8" hidden="1">
      <c r="A8" s="242" t="s">
        <v>29</v>
      </c>
      <c r="B8" s="236" t="s">
        <v>123</v>
      </c>
      <c r="C8" s="236" t="s">
        <v>123</v>
      </c>
    </row>
    <row r="9">
      <c r="A9" s="242" t="s">
        <v>28</v>
      </c>
      <c r="B9" s="236" t="s">
        <v>123</v>
      </c>
    </row>
    <row r="10">
      <c r="A10" s="242" t="s">
        <v>27</v>
      </c>
      <c r="B10" s="236" t="s">
        <v>123</v>
      </c>
    </row>
    <row r="11">
      <c r="A11" s="243" t="s">
        <v>23</v>
      </c>
      <c r="B11" s="236" t="s">
        <v>61</v>
      </c>
    </row>
  </sheetData>
  <autoFilter ref="$A$1:$C$11">
    <filterColumn colId="2">
      <filters blank="1"/>
    </filterColumn>
    <sortState ref="A1:C11">
      <sortCondition descending="1" ref="B1:B11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7.5"/>
    <col customWidth="1" min="3" max="3" width="5.38"/>
    <col customWidth="1" min="4" max="4" width="7.13"/>
    <col customWidth="1" min="5" max="5" width="5.5"/>
    <col customWidth="1" min="6" max="6" width="8.13"/>
    <col customWidth="1" min="7" max="7" width="2.13"/>
    <col customWidth="1" min="8" max="8" width="6.63"/>
    <col customWidth="1" min="9" max="9" width="5.38"/>
    <col customWidth="1" min="10" max="10" width="6.5"/>
    <col customWidth="1" min="11" max="11" width="0.88"/>
    <col customWidth="1" min="12" max="12" width="6.13"/>
    <col customWidth="1" min="13" max="13" width="5.38"/>
    <col customWidth="1" min="14" max="14" width="6.5"/>
    <col customWidth="1" min="15" max="15" width="6.38"/>
  </cols>
  <sheetData>
    <row r="1" ht="5.25" customHeight="1">
      <c r="A1" s="101"/>
      <c r="B1" s="102"/>
      <c r="C1" s="102"/>
      <c r="D1" s="102"/>
      <c r="E1" s="102"/>
      <c r="F1" s="102"/>
      <c r="G1" s="103"/>
      <c r="H1" s="104"/>
      <c r="I1" s="104"/>
      <c r="J1" s="104"/>
      <c r="K1" s="104"/>
      <c r="L1" s="104"/>
      <c r="M1" s="104"/>
      <c r="N1" s="104"/>
      <c r="O1" s="103"/>
    </row>
    <row r="2">
      <c r="A2" s="101"/>
      <c r="B2" s="105" t="s">
        <v>124</v>
      </c>
      <c r="C2" s="7"/>
      <c r="D2" s="7"/>
      <c r="E2" s="7"/>
      <c r="F2" s="8"/>
      <c r="G2" s="103"/>
      <c r="H2" s="104" t="s">
        <v>125</v>
      </c>
      <c r="O2" s="103"/>
    </row>
    <row r="3" ht="7.5" customHeight="1">
      <c r="A3" s="108"/>
      <c r="B3" s="108"/>
      <c r="C3" s="108"/>
      <c r="D3" s="108"/>
      <c r="E3" s="108"/>
      <c r="F3" s="108"/>
      <c r="G3" s="109"/>
      <c r="H3" s="109"/>
      <c r="I3" s="109"/>
      <c r="J3" s="109"/>
      <c r="K3" s="109"/>
      <c r="L3" s="109"/>
      <c r="M3" s="109"/>
      <c r="N3" s="109"/>
      <c r="O3" s="109"/>
    </row>
    <row r="4">
      <c r="A4" s="110"/>
      <c r="B4" s="113">
        <v>0.7222222222222222</v>
      </c>
      <c r="C4" s="7"/>
      <c r="D4" s="7"/>
      <c r="E4" s="7"/>
      <c r="F4" s="8"/>
      <c r="G4" s="109"/>
      <c r="H4" s="114" t="str">
        <f t="array" ref="H4">INDEX(B5:F5, MATCH(MIN(B6:F6), B6:F6, 0))</f>
        <v>Bryan</v>
      </c>
      <c r="I4" s="115" t="s">
        <v>79</v>
      </c>
      <c r="J4" s="116"/>
      <c r="K4" s="117"/>
      <c r="L4" s="117"/>
      <c r="M4" s="117"/>
      <c r="N4" s="117"/>
      <c r="O4" s="112"/>
    </row>
    <row r="5">
      <c r="A5" s="110"/>
      <c r="B5" s="118" t="s">
        <v>20</v>
      </c>
      <c r="C5" s="119" t="s">
        <v>80</v>
      </c>
      <c r="D5" s="120" t="s">
        <v>22</v>
      </c>
      <c r="E5" s="119" t="s">
        <v>80</v>
      </c>
      <c r="F5" s="121" t="s">
        <v>21</v>
      </c>
      <c r="G5" s="109"/>
      <c r="H5" s="122" t="str">
        <f t="array" ref="H5">INDEX(B5:F5, MATCH(MEDIAN(B6:F6), B6:F6, 0))</f>
        <v>Bird</v>
      </c>
      <c r="I5" s="123">
        <f>MEDIAN(B5:F6)-MIN(B5:F6)</f>
        <v>1</v>
      </c>
      <c r="J5" s="124" t="s">
        <v>81</v>
      </c>
      <c r="K5" s="117"/>
      <c r="L5" s="114" t="str">
        <f t="array" ref="L5">INDEX(B5:F5, MATCH(MEDIAN(B6:F6), B6:F6, 0))</f>
        <v>Bird</v>
      </c>
      <c r="M5" s="115" t="s">
        <v>79</v>
      </c>
      <c r="N5" s="158"/>
      <c r="O5" s="112"/>
    </row>
    <row r="6">
      <c r="A6" s="110"/>
      <c r="B6" s="125">
        <f t="array" ref="B6">ROUNDUP(XLOOKUP(B5,'519 Copy of Match Generator'!$B$36:$B$46,'519 Copy of Match Generator'!$C$36:$C$46)/2,0)</f>
        <v>7</v>
      </c>
      <c r="C6" s="126"/>
      <c r="D6" s="127">
        <f t="array" ref="D6">ROUNDUP(XLOOKUP(D5,'519 Copy of Match Generator'!$B$36:$B$46,'519 Copy of Match Generator'!$C$36:$C$46)/2,0)</f>
        <v>9</v>
      </c>
      <c r="E6" s="126"/>
      <c r="F6" s="128">
        <f t="array" ref="F6">ROUNDUP(XLOOKUP(F5,'519 Copy of Match Generator'!$B$36:$B$46,'519 Copy of Match Generator'!$C$36:$C$46)/2,0)</f>
        <v>8</v>
      </c>
      <c r="G6" s="109"/>
      <c r="H6" s="129" t="str">
        <f t="array" ref="H6">INDEX(B5:F5, MATCH(MAX(B6:F6), B6:F6, 0))</f>
        <v>Zach</v>
      </c>
      <c r="I6" s="130">
        <f>MAX(B5:F6)-MIN(B5:F6)</f>
        <v>2</v>
      </c>
      <c r="J6" s="131" t="s">
        <v>81</v>
      </c>
      <c r="K6" s="112"/>
      <c r="L6" s="129" t="str">
        <f t="array" ref="L6">INDEX(B5:F5, MATCH(MAX(B6:F6), B6:F6, 0))</f>
        <v>Zach</v>
      </c>
      <c r="M6" s="130">
        <f>MAX(B5:F6)-MEDIAN(B5:F6)</f>
        <v>1</v>
      </c>
      <c r="N6" s="131" t="s">
        <v>81</v>
      </c>
      <c r="O6" s="112"/>
    </row>
    <row r="7">
      <c r="A7" s="110"/>
      <c r="B7" s="110"/>
      <c r="C7" s="110"/>
      <c r="D7" s="110"/>
      <c r="E7" s="110"/>
      <c r="F7" s="110"/>
      <c r="G7" s="112"/>
      <c r="H7" s="112"/>
      <c r="I7" s="112"/>
      <c r="J7" s="112"/>
      <c r="K7" s="112"/>
      <c r="L7" s="112"/>
      <c r="M7" s="112"/>
      <c r="N7" s="112"/>
      <c r="O7" s="112"/>
    </row>
    <row r="8">
      <c r="A8" s="110"/>
      <c r="B8" s="113">
        <v>0.7291666666666666</v>
      </c>
      <c r="C8" s="7"/>
      <c r="D8" s="7"/>
      <c r="E8" s="7"/>
      <c r="F8" s="8"/>
      <c r="G8" s="109"/>
      <c r="H8" s="114" t="str">
        <f t="array" ref="H8">INDEX(B9:F9, MATCH(MIN(B10:F10), B10:F10, 0))</f>
        <v>Joey</v>
      </c>
      <c r="I8" s="115" t="s">
        <v>79</v>
      </c>
      <c r="J8" s="116"/>
      <c r="K8" s="117"/>
      <c r="L8" s="117"/>
      <c r="M8" s="117"/>
      <c r="N8" s="117"/>
      <c r="O8" s="112"/>
    </row>
    <row r="9">
      <c r="A9" s="110"/>
      <c r="B9" s="118" t="s">
        <v>18</v>
      </c>
      <c r="C9" s="119" t="s">
        <v>80</v>
      </c>
      <c r="D9" s="120" t="s">
        <v>24</v>
      </c>
      <c r="E9" s="119" t="s">
        <v>80</v>
      </c>
      <c r="F9" s="121" t="s">
        <v>25</v>
      </c>
      <c r="G9" s="109"/>
      <c r="H9" s="122" t="str">
        <f t="array" ref="H9">INDEX(B9:F9, MATCH(MEDIAN(B10:F10), B10:F10, 0))</f>
        <v>GT</v>
      </c>
      <c r="I9" s="123">
        <f>MEDIAN(B9:F10)-MIN(B9:F10)</f>
        <v>1</v>
      </c>
      <c r="J9" s="124" t="s">
        <v>81</v>
      </c>
      <c r="K9" s="117"/>
      <c r="L9" s="114" t="str">
        <f t="array" ref="L9">INDEX(B9:F9, MATCH(MEDIAN(B10:F10), B10:F10, 0))</f>
        <v>GT</v>
      </c>
      <c r="M9" s="115" t="s">
        <v>79</v>
      </c>
      <c r="N9" s="158"/>
      <c r="O9" s="112"/>
    </row>
    <row r="10">
      <c r="A10" s="110"/>
      <c r="B10" s="125">
        <f t="array" ref="B10">ROUNDUP(XLOOKUP(B9,'519 Copy of Match Generator'!$B$36:$B$46,'519 Copy of Match Generator'!$C$36:$C$46)/2,0)</f>
        <v>6</v>
      </c>
      <c r="C10" s="126"/>
      <c r="D10" s="127">
        <f t="array" ref="D10">ROUNDUP(XLOOKUP(D9,'519 Copy of Match Generator'!$B$36:$B$46,'519 Copy of Match Generator'!$C$36:$C$46)/2,0)</f>
        <v>7</v>
      </c>
      <c r="E10" s="126"/>
      <c r="F10" s="128">
        <f t="array" ref="F10">ROUNDUP(XLOOKUP(F9,'519 Copy of Match Generator'!$B$36:$B$46,'519 Copy of Match Generator'!$C$36:$C$46)/2,0)</f>
        <v>10</v>
      </c>
      <c r="G10" s="109"/>
      <c r="H10" s="129" t="str">
        <f t="array" ref="H10">INDEX(B9:F9, MATCH(MAX(B10:F10), B10:F10, 0))</f>
        <v>Joe</v>
      </c>
      <c r="I10" s="130">
        <f>MAX(B9:F10)-MIN(B9:F10)</f>
        <v>4</v>
      </c>
      <c r="J10" s="131" t="s">
        <v>81</v>
      </c>
      <c r="K10" s="112"/>
      <c r="L10" s="129" t="str">
        <f t="array" ref="L10">INDEX(B9:F9, MATCH(MAX(B10:F10), B10:F10, 0))</f>
        <v>Joe</v>
      </c>
      <c r="M10" s="130">
        <f>MAX(B9:F10)-MEDIAN(B9:F10)</f>
        <v>3</v>
      </c>
      <c r="N10" s="131" t="s">
        <v>81</v>
      </c>
      <c r="O10" s="112"/>
    </row>
    <row r="11">
      <c r="A11" s="110"/>
      <c r="B11" s="110"/>
      <c r="C11" s="110"/>
      <c r="D11" s="110"/>
      <c r="E11" s="110"/>
      <c r="F11" s="110"/>
      <c r="G11" s="112"/>
      <c r="H11" s="112"/>
      <c r="I11" s="112"/>
      <c r="J11" s="112"/>
      <c r="K11" s="112"/>
      <c r="L11" s="112"/>
      <c r="M11" s="112"/>
      <c r="N11" s="112"/>
      <c r="O11" s="112"/>
    </row>
    <row r="12">
      <c r="A12" s="110"/>
      <c r="B12" s="110"/>
      <c r="C12" s="110"/>
      <c r="D12" s="110"/>
      <c r="E12" s="110"/>
      <c r="F12" s="110"/>
      <c r="G12" s="112"/>
      <c r="H12" s="112"/>
      <c r="I12" s="112"/>
      <c r="J12" s="112"/>
      <c r="K12" s="112"/>
      <c r="L12" s="112"/>
      <c r="M12" s="112"/>
      <c r="N12" s="112"/>
      <c r="O12" s="112"/>
    </row>
    <row r="13">
      <c r="A13" s="110"/>
      <c r="B13" s="110"/>
      <c r="C13" s="110"/>
      <c r="D13" s="110"/>
      <c r="E13" s="110"/>
      <c r="F13" s="110"/>
      <c r="G13" s="112"/>
      <c r="H13" s="112"/>
      <c r="I13" s="112"/>
      <c r="J13" s="112"/>
      <c r="K13" s="112"/>
      <c r="L13" s="112"/>
      <c r="M13" s="112"/>
      <c r="N13" s="112"/>
      <c r="O13" s="112"/>
    </row>
    <row r="14">
      <c r="A14" s="110"/>
      <c r="B14" s="110"/>
      <c r="C14" s="110"/>
      <c r="D14" s="110"/>
      <c r="E14" s="110"/>
      <c r="F14" s="110"/>
      <c r="G14" s="112"/>
      <c r="H14" s="112"/>
      <c r="I14" s="112"/>
      <c r="J14" s="112"/>
      <c r="K14" s="112"/>
      <c r="L14" s="112"/>
      <c r="M14" s="112"/>
      <c r="N14" s="112"/>
      <c r="O14" s="112"/>
    </row>
    <row r="15">
      <c r="A15" s="110"/>
      <c r="B15" s="110"/>
      <c r="C15" s="110"/>
      <c r="D15" s="110"/>
      <c r="E15" s="110"/>
      <c r="F15" s="110"/>
      <c r="G15" s="112"/>
      <c r="H15" s="112"/>
      <c r="I15" s="112"/>
      <c r="J15" s="112"/>
      <c r="K15" s="112"/>
      <c r="L15" s="112"/>
      <c r="M15" s="112"/>
      <c r="N15" s="112"/>
      <c r="O15" s="112"/>
    </row>
    <row r="16">
      <c r="A16" s="110"/>
      <c r="B16" s="110"/>
      <c r="C16" s="110"/>
      <c r="D16" s="110"/>
      <c r="E16" s="110"/>
      <c r="F16" s="110"/>
      <c r="G16" s="112"/>
      <c r="H16" s="112"/>
      <c r="I16" s="112"/>
      <c r="J16" s="112"/>
      <c r="K16" s="112"/>
      <c r="L16" s="112"/>
      <c r="M16" s="112"/>
      <c r="N16" s="112"/>
      <c r="O16" s="112"/>
    </row>
    <row r="17">
      <c r="A17" s="110"/>
      <c r="B17" s="110"/>
      <c r="C17" s="110"/>
      <c r="D17" s="110"/>
      <c r="E17" s="110"/>
      <c r="F17" s="110"/>
      <c r="G17" s="112"/>
      <c r="H17" s="112"/>
      <c r="I17" s="112"/>
      <c r="J17" s="112"/>
      <c r="K17" s="112"/>
      <c r="L17" s="112"/>
      <c r="M17" s="112"/>
      <c r="N17" s="112"/>
      <c r="O17" s="112"/>
    </row>
    <row r="18">
      <c r="A18" s="110"/>
      <c r="B18" s="110"/>
      <c r="C18" s="110"/>
      <c r="D18" s="110"/>
      <c r="E18" s="110"/>
      <c r="F18" s="110"/>
      <c r="G18" s="112"/>
      <c r="H18" s="112"/>
      <c r="I18" s="112"/>
      <c r="J18" s="112"/>
      <c r="K18" s="112"/>
      <c r="L18" s="112"/>
      <c r="M18" s="112"/>
      <c r="N18" s="112"/>
      <c r="O18" s="112"/>
    </row>
    <row r="19">
      <c r="A19" s="110"/>
      <c r="B19" s="110"/>
      <c r="C19" s="110"/>
      <c r="D19" s="110"/>
      <c r="E19" s="110"/>
      <c r="F19" s="110"/>
      <c r="G19" s="112"/>
      <c r="H19" s="112"/>
      <c r="I19" s="112"/>
      <c r="J19" s="112"/>
      <c r="K19" s="112"/>
      <c r="L19" s="112"/>
      <c r="M19" s="112"/>
      <c r="N19" s="112"/>
      <c r="O19" s="112"/>
    </row>
    <row r="20">
      <c r="A20" s="110"/>
      <c r="B20" s="110"/>
      <c r="C20" s="110"/>
      <c r="D20" s="110"/>
      <c r="E20" s="110"/>
      <c r="F20" s="110"/>
      <c r="G20" s="112"/>
      <c r="H20" s="112"/>
      <c r="I20" s="112"/>
      <c r="J20" s="112"/>
      <c r="K20" s="112"/>
      <c r="L20" s="112"/>
      <c r="M20" s="112"/>
      <c r="N20" s="112"/>
      <c r="O20" s="112"/>
    </row>
    <row r="21">
      <c r="A21" s="108"/>
      <c r="B21" s="139"/>
      <c r="C21" s="139"/>
      <c r="D21" s="139"/>
      <c r="E21" s="139"/>
      <c r="F21" s="139"/>
      <c r="G21" s="109"/>
      <c r="H21" s="109"/>
      <c r="I21" s="109"/>
      <c r="J21" s="109"/>
      <c r="K21" s="109"/>
      <c r="L21" s="109"/>
      <c r="M21" s="109"/>
      <c r="N21" s="109"/>
      <c r="O21" s="109"/>
    </row>
    <row r="22">
      <c r="A22" s="108"/>
      <c r="B22" s="140" t="s">
        <v>82</v>
      </c>
      <c r="C22" s="7"/>
      <c r="D22" s="7"/>
      <c r="E22" s="7"/>
      <c r="F22" s="8"/>
      <c r="G22" s="109"/>
      <c r="H22" s="109"/>
      <c r="I22" s="109"/>
      <c r="J22" s="109"/>
      <c r="K22" s="109"/>
      <c r="L22" s="109"/>
      <c r="M22" s="109"/>
      <c r="N22" s="109"/>
      <c r="O22" s="109"/>
    </row>
    <row r="23">
      <c r="A23" s="108"/>
      <c r="B23" s="118"/>
      <c r="C23" s="244"/>
      <c r="D23" s="119" t="s">
        <v>80</v>
      </c>
      <c r="E23" s="133"/>
      <c r="F23" s="121"/>
      <c r="G23" s="109"/>
      <c r="H23" s="109"/>
      <c r="I23" s="109"/>
      <c r="J23" s="109"/>
      <c r="K23" s="109"/>
      <c r="L23" s="109"/>
      <c r="M23" s="109"/>
      <c r="N23" s="109"/>
      <c r="O23" s="109"/>
    </row>
    <row r="24">
      <c r="A24" s="108"/>
      <c r="B24" s="147" t="str">
        <f t="array" ref="B24">ROUNDUP(XLOOKUP(B23,'519 Copy of Match Generator'!$B$36:$B$46,'519 Copy of Match Generator'!$C$36:$C$46)/2,0)</f>
        <v>#N/A</v>
      </c>
      <c r="C24" s="148" t="str">
        <f t="array" ref="C24">ROUNDUP(XLOOKUP(C23,'519 Copy of Match Generator'!$B$36:$B$46,'519 Copy of Match Generator'!$C$36:$C$46)/2,0)</f>
        <v>#N/A</v>
      </c>
      <c r="D24" s="245" t="s">
        <v>126</v>
      </c>
      <c r="E24" s="151" t="str">
        <f t="array" ref="E24">ROUNDUP(XLOOKUP(E23,'519 Copy of Match Generator'!$B$36:$B$46,'519 Copy of Match Generator'!$C$36:$C$46)/2,0)</f>
        <v>#N/A</v>
      </c>
      <c r="F24" s="153" t="str">
        <f t="array" ref="F24">ROUNDUP(XLOOKUP(F23,'519 Copy of Match Generator'!$B$36:$B$46,'519 Copy of Match Generator'!$C$36:$C$46)/2,0)</f>
        <v>#N/A</v>
      </c>
      <c r="G24" s="109"/>
      <c r="H24" s="109"/>
      <c r="I24" s="109"/>
      <c r="J24" s="109"/>
      <c r="K24" s="109"/>
      <c r="L24" s="109"/>
      <c r="M24" s="109"/>
      <c r="N24" s="109"/>
      <c r="O24" s="109"/>
    </row>
    <row r="25">
      <c r="A25" s="108"/>
      <c r="B25" s="125" t="s">
        <v>127</v>
      </c>
      <c r="C25" s="154" t="str">
        <f>B24+C24</f>
        <v>#N/A</v>
      </c>
      <c r="D25" s="136" t="str">
        <f>ABS(C25-F25)</f>
        <v>#N/A</v>
      </c>
      <c r="E25" s="137" t="s">
        <v>127</v>
      </c>
      <c r="F25" s="128" t="str">
        <f>E24+F24</f>
        <v>#N/A</v>
      </c>
      <c r="G25" s="109"/>
      <c r="H25" s="109"/>
      <c r="I25" s="109"/>
      <c r="J25" s="109"/>
      <c r="K25" s="109"/>
      <c r="L25" s="109"/>
      <c r="M25" s="109"/>
      <c r="N25" s="109"/>
      <c r="O25" s="109"/>
    </row>
    <row r="26">
      <c r="A26" s="108"/>
      <c r="B26" s="108"/>
      <c r="C26" s="108"/>
      <c r="D26" s="108"/>
      <c r="E26" s="108"/>
      <c r="F26" s="108"/>
      <c r="G26" s="109"/>
      <c r="H26" s="109"/>
      <c r="I26" s="109"/>
      <c r="J26" s="109"/>
      <c r="K26" s="109"/>
      <c r="L26" s="109"/>
      <c r="M26" s="109"/>
      <c r="N26" s="109"/>
      <c r="O26" s="109"/>
    </row>
    <row r="27">
      <c r="A27" s="108"/>
      <c r="B27" s="140" t="s">
        <v>85</v>
      </c>
      <c r="C27" s="7"/>
      <c r="D27" s="7"/>
      <c r="E27" s="7"/>
      <c r="F27" s="8"/>
      <c r="G27" s="109"/>
      <c r="H27" s="109"/>
      <c r="I27" s="109"/>
      <c r="J27" s="109"/>
      <c r="K27" s="109"/>
      <c r="L27" s="109"/>
      <c r="M27" s="109"/>
      <c r="N27" s="109"/>
      <c r="O27" s="109"/>
    </row>
    <row r="28">
      <c r="A28" s="108"/>
      <c r="B28" s="118"/>
      <c r="C28" s="132"/>
      <c r="D28" s="119" t="s">
        <v>80</v>
      </c>
      <c r="E28" s="133"/>
      <c r="F28" s="134"/>
      <c r="G28" s="109"/>
      <c r="H28" s="109"/>
      <c r="I28" s="109"/>
      <c r="J28" s="109"/>
      <c r="K28" s="109"/>
      <c r="L28" s="109"/>
      <c r="M28" s="109"/>
      <c r="N28" s="109"/>
      <c r="O28" s="109"/>
    </row>
    <row r="29">
      <c r="A29" s="108"/>
      <c r="B29" s="125" t="str">
        <f t="array" ref="B29">ROUNDUP(XLOOKUP(B28,'519 Copy of Match Generator'!$B$36:$B$46,'519 Copy of Match Generator'!$C$36:$C$46)/2,0)</f>
        <v>#N/A</v>
      </c>
      <c r="C29" s="135"/>
      <c r="D29" s="136" t="str">
        <f>ABS(B29-E29)</f>
        <v>#N/A</v>
      </c>
      <c r="E29" s="137" t="str">
        <f t="array" ref="E29">ROUNDUP(XLOOKUP(E28,'519 Copy of Match Generator'!$B$36:$B$46,'519 Copy of Match Generator'!$C$36:$C$46)/2,0)</f>
        <v>#N/A</v>
      </c>
      <c r="F29" s="138"/>
      <c r="G29" s="109"/>
      <c r="H29" s="109"/>
      <c r="I29" s="109"/>
      <c r="J29" s="109"/>
      <c r="K29" s="109"/>
      <c r="L29" s="109"/>
      <c r="M29" s="109"/>
      <c r="N29" s="109"/>
      <c r="O29" s="109"/>
    </row>
    <row r="30">
      <c r="A30" s="108"/>
      <c r="B30" s="108"/>
      <c r="C30" s="108"/>
      <c r="D30" s="108"/>
      <c r="E30" s="108"/>
      <c r="F30" s="108"/>
      <c r="G30" s="109"/>
      <c r="H30" s="109"/>
      <c r="I30" s="109"/>
      <c r="J30" s="109"/>
      <c r="K30" s="109"/>
      <c r="L30" s="109"/>
      <c r="M30" s="109"/>
      <c r="N30" s="109"/>
      <c r="O30" s="109"/>
    </row>
    <row r="31">
      <c r="A31" s="108"/>
      <c r="B31" s="140" t="s">
        <v>67</v>
      </c>
      <c r="C31" s="7"/>
      <c r="D31" s="7"/>
      <c r="E31" s="7"/>
      <c r="F31" s="8"/>
      <c r="G31" s="109"/>
      <c r="H31" s="114" t="str">
        <f t="array" ref="H31">INDEX(B32:F32, MATCH(MIN(B33:F33), B33:F33, 0))</f>
        <v>#N/A</v>
      </c>
      <c r="I31" s="115" t="s">
        <v>79</v>
      </c>
      <c r="J31" s="116"/>
      <c r="K31" s="117"/>
      <c r="L31" s="117"/>
      <c r="M31" s="117"/>
      <c r="N31" s="117"/>
      <c r="O31" s="109"/>
    </row>
    <row r="32">
      <c r="A32" s="108"/>
      <c r="B32" s="118"/>
      <c r="C32" s="119" t="s">
        <v>80</v>
      </c>
      <c r="D32" s="120"/>
      <c r="E32" s="119" t="s">
        <v>80</v>
      </c>
      <c r="F32" s="121"/>
      <c r="G32" s="109"/>
      <c r="H32" s="122" t="str">
        <f t="array" ref="H32">INDEX(B32:F32, MATCH(MEDIAN(B33:F33), B33:F33, 0))</f>
        <v>#N/A</v>
      </c>
      <c r="I32" s="123" t="str">
        <f>MEDIAN(B32:F33)-MIN(B32:F33)</f>
        <v>#N/A</v>
      </c>
      <c r="J32" s="124" t="s">
        <v>81</v>
      </c>
      <c r="K32" s="117"/>
      <c r="L32" s="114" t="str">
        <f t="array" ref="L32">INDEX(B32:F32, MATCH(MEDIAN(B33:F33), B33:F33, 0))</f>
        <v>#N/A</v>
      </c>
      <c r="M32" s="115" t="s">
        <v>79</v>
      </c>
      <c r="N32" s="158"/>
      <c r="O32" s="109"/>
    </row>
    <row r="33">
      <c r="A33" s="108"/>
      <c r="B33" s="125" t="str">
        <f t="array" ref="B33">ROUNDUP(XLOOKUP(B32,'519 Copy of Match Generator'!$B$36:$B$46,'519 Copy of Match Generator'!$C$36:$C$46)/2,0)</f>
        <v>#N/A</v>
      </c>
      <c r="C33" s="126"/>
      <c r="D33" s="127" t="str">
        <f t="array" ref="D33">ROUNDUP(XLOOKUP(D32,'519 Copy of Match Generator'!$B$36:$B$46,'519 Copy of Match Generator'!$C$36:$C$46)/2,0)</f>
        <v>#N/A</v>
      </c>
      <c r="E33" s="126"/>
      <c r="F33" s="128" t="str">
        <f t="array" ref="F33">ROUNDUP(XLOOKUP(F32,'519 Copy of Match Generator'!$B$36:$B$46,'519 Copy of Match Generator'!$C$36:$C$46)/2,0)</f>
        <v>#N/A</v>
      </c>
      <c r="G33" s="109"/>
      <c r="H33" s="129" t="str">
        <f t="array" ref="H33">INDEX(B32:F32, MATCH(MAX(B33:F33), B33:F33, 0))</f>
        <v>#N/A</v>
      </c>
      <c r="I33" s="130" t="str">
        <f>MAX(B32:F33)-MIN(B32:F33)</f>
        <v>#N/A</v>
      </c>
      <c r="J33" s="131" t="s">
        <v>81</v>
      </c>
      <c r="K33" s="112"/>
      <c r="L33" s="129" t="str">
        <f t="array" ref="L33">INDEX(B32:F32, MATCH(MAX(B33:F33), B33:F33, 0))</f>
        <v>#N/A</v>
      </c>
      <c r="M33" s="130" t="str">
        <f>MAX(B32:F33)-MEDIAN(B32:F33)</f>
        <v>#N/A</v>
      </c>
      <c r="N33" s="131" t="s">
        <v>81</v>
      </c>
      <c r="O33" s="109"/>
    </row>
    <row r="34">
      <c r="A34" s="108"/>
      <c r="B34" s="108"/>
      <c r="C34" s="108"/>
      <c r="D34" s="108"/>
      <c r="E34" s="108"/>
      <c r="F34" s="108"/>
      <c r="G34" s="109"/>
      <c r="H34" s="109"/>
      <c r="I34" s="109"/>
      <c r="J34" s="109"/>
      <c r="K34" s="109"/>
      <c r="L34" s="109"/>
      <c r="M34" s="109"/>
      <c r="N34" s="109"/>
      <c r="O34" s="109"/>
    </row>
    <row r="35">
      <c r="A35" s="108"/>
      <c r="B35" s="159"/>
      <c r="C35" s="160" t="s">
        <v>86</v>
      </c>
      <c r="D35" s="161"/>
      <c r="E35" s="161" t="s">
        <v>87</v>
      </c>
      <c r="F35" s="108"/>
      <c r="G35" s="109"/>
      <c r="H35" s="109"/>
      <c r="I35" s="109"/>
      <c r="J35" s="109"/>
      <c r="K35" s="109"/>
      <c r="L35" s="109"/>
      <c r="M35" s="109"/>
      <c r="N35" s="109"/>
      <c r="O35" s="109"/>
    </row>
    <row r="36">
      <c r="A36" s="108"/>
      <c r="B36" s="69" t="s">
        <v>21</v>
      </c>
      <c r="C36" s="69">
        <v>15.3</v>
      </c>
      <c r="D36" s="69" t="s">
        <v>59</v>
      </c>
      <c r="E36" s="69">
        <v>9.0</v>
      </c>
      <c r="F36" s="162"/>
      <c r="G36" s="109"/>
      <c r="H36" s="109"/>
      <c r="I36" s="109"/>
      <c r="J36" s="109"/>
      <c r="K36" s="109"/>
      <c r="L36" s="109"/>
      <c r="M36" s="109"/>
      <c r="N36" s="109"/>
      <c r="O36" s="109"/>
    </row>
    <row r="37">
      <c r="A37" s="108"/>
      <c r="B37" s="69" t="s">
        <v>20</v>
      </c>
      <c r="C37" s="69">
        <v>13.1</v>
      </c>
      <c r="D37" s="69" t="s">
        <v>59</v>
      </c>
      <c r="E37" s="69">
        <v>1.0</v>
      </c>
      <c r="F37" s="162"/>
      <c r="G37" s="109"/>
      <c r="H37" s="109"/>
      <c r="I37" s="109"/>
      <c r="J37" s="109"/>
      <c r="K37" s="109"/>
      <c r="L37" s="109"/>
      <c r="M37" s="109"/>
      <c r="N37" s="109"/>
      <c r="O37" s="109"/>
    </row>
    <row r="38">
      <c r="A38" s="108"/>
      <c r="B38" s="69" t="s">
        <v>24</v>
      </c>
      <c r="C38" s="69">
        <v>13.6</v>
      </c>
      <c r="D38" s="69" t="s">
        <v>59</v>
      </c>
      <c r="E38" s="69">
        <v>2.0</v>
      </c>
      <c r="F38" s="162"/>
      <c r="G38" s="109"/>
      <c r="H38" s="109"/>
      <c r="I38" s="109"/>
      <c r="J38" s="109"/>
      <c r="K38" s="109"/>
      <c r="L38" s="109"/>
      <c r="M38" s="109"/>
      <c r="N38" s="109"/>
      <c r="O38" s="109"/>
    </row>
    <row r="39">
      <c r="A39" s="108"/>
      <c r="B39" s="69" t="s">
        <v>25</v>
      </c>
      <c r="C39" s="69">
        <v>18.2</v>
      </c>
      <c r="D39" s="69" t="s">
        <v>59</v>
      </c>
      <c r="E39" s="69">
        <v>4.0</v>
      </c>
      <c r="F39" s="162"/>
      <c r="G39" s="109"/>
      <c r="H39" s="109"/>
      <c r="I39" s="109"/>
      <c r="J39" s="109"/>
      <c r="K39" s="109"/>
      <c r="L39" s="109"/>
      <c r="M39" s="109"/>
      <c r="N39" s="109"/>
      <c r="O39" s="109"/>
    </row>
    <row r="40">
      <c r="A40" s="108"/>
      <c r="B40" s="69" t="s">
        <v>18</v>
      </c>
      <c r="C40" s="69">
        <v>11.6</v>
      </c>
      <c r="D40" s="69" t="s">
        <v>59</v>
      </c>
      <c r="E40" s="69">
        <v>8.0</v>
      </c>
      <c r="F40" s="162"/>
      <c r="G40" s="109"/>
      <c r="H40" s="109"/>
      <c r="I40" s="109"/>
      <c r="J40" s="109"/>
      <c r="K40" s="109"/>
      <c r="L40" s="109"/>
      <c r="M40" s="109"/>
      <c r="N40" s="109"/>
      <c r="O40" s="109"/>
    </row>
    <row r="41">
      <c r="A41" s="108"/>
      <c r="B41" s="69" t="s">
        <v>22</v>
      </c>
      <c r="C41" s="69">
        <v>17.8</v>
      </c>
      <c r="D41" s="69" t="s">
        <v>59</v>
      </c>
      <c r="E41" s="69">
        <v>3.0</v>
      </c>
      <c r="F41" s="162"/>
      <c r="G41" s="109"/>
      <c r="H41" s="109"/>
      <c r="I41" s="109"/>
      <c r="J41" s="109"/>
      <c r="K41" s="109"/>
      <c r="L41" s="109"/>
      <c r="M41" s="109"/>
      <c r="N41" s="109"/>
      <c r="O41" s="109"/>
    </row>
    <row r="42">
      <c r="A42" s="108"/>
      <c r="B42" s="69" t="s">
        <v>29</v>
      </c>
      <c r="C42" s="69">
        <v>10.0</v>
      </c>
      <c r="D42" s="69" t="s">
        <v>61</v>
      </c>
      <c r="E42" s="69">
        <v>6.0</v>
      </c>
      <c r="F42" s="162"/>
      <c r="G42" s="109"/>
      <c r="H42" s="109"/>
      <c r="I42" s="109"/>
      <c r="J42" s="109"/>
      <c r="K42" s="109"/>
      <c r="L42" s="109"/>
      <c r="M42" s="109"/>
      <c r="N42" s="109"/>
      <c r="O42" s="109"/>
    </row>
    <row r="43">
      <c r="A43" s="108"/>
      <c r="B43" s="69" t="s">
        <v>26</v>
      </c>
      <c r="C43" s="69">
        <v>27.4</v>
      </c>
      <c r="D43" s="69" t="s">
        <v>61</v>
      </c>
      <c r="E43" s="69">
        <v>5.0</v>
      </c>
      <c r="F43" s="162"/>
      <c r="G43" s="109"/>
      <c r="H43" s="109"/>
      <c r="I43" s="109"/>
      <c r="J43" s="109"/>
      <c r="K43" s="109"/>
      <c r="L43" s="109"/>
      <c r="M43" s="109"/>
      <c r="N43" s="109"/>
      <c r="O43" s="109"/>
    </row>
    <row r="44">
      <c r="A44" s="108"/>
      <c r="B44" s="69" t="s">
        <v>28</v>
      </c>
      <c r="C44" s="69">
        <v>28.0</v>
      </c>
      <c r="D44" s="69" t="s">
        <v>61</v>
      </c>
      <c r="E44" s="69" t="s">
        <v>128</v>
      </c>
      <c r="F44" s="162"/>
      <c r="G44" s="109"/>
      <c r="H44" s="109"/>
      <c r="I44" s="109"/>
      <c r="J44" s="109"/>
      <c r="K44" s="109"/>
      <c r="L44" s="109"/>
      <c r="M44" s="109"/>
      <c r="N44" s="109"/>
      <c r="O44" s="109"/>
    </row>
    <row r="45">
      <c r="A45" s="108"/>
      <c r="B45" s="69" t="s">
        <v>27</v>
      </c>
      <c r="C45" s="69">
        <v>28.8</v>
      </c>
      <c r="D45" s="69" t="s">
        <v>61</v>
      </c>
      <c r="E45" s="69">
        <v>7.0</v>
      </c>
      <c r="F45" s="162"/>
      <c r="G45" s="109"/>
      <c r="H45" s="109"/>
      <c r="I45" s="109"/>
      <c r="J45" s="109"/>
      <c r="K45" s="109"/>
      <c r="L45" s="109"/>
      <c r="M45" s="109"/>
      <c r="N45" s="109"/>
      <c r="O45" s="109"/>
    </row>
    <row r="46">
      <c r="A46" s="108"/>
      <c r="B46" s="69" t="s">
        <v>23</v>
      </c>
      <c r="C46" s="69" t="s">
        <v>19</v>
      </c>
      <c r="D46" s="69" t="s">
        <v>61</v>
      </c>
      <c r="E46" s="69" t="s">
        <v>128</v>
      </c>
      <c r="F46" s="162"/>
      <c r="G46" s="109"/>
      <c r="H46" s="109"/>
      <c r="I46" s="109"/>
      <c r="J46" s="109"/>
      <c r="K46" s="109"/>
      <c r="L46" s="109"/>
      <c r="M46" s="109"/>
      <c r="N46" s="109"/>
      <c r="O46" s="109"/>
    </row>
    <row r="47">
      <c r="A47" s="108"/>
      <c r="B47" s="108"/>
      <c r="C47" s="108"/>
      <c r="D47" s="108"/>
      <c r="E47" s="108"/>
      <c r="F47" s="108"/>
      <c r="G47" s="109"/>
      <c r="H47" s="109"/>
      <c r="I47" s="109"/>
      <c r="J47" s="109"/>
      <c r="K47" s="109"/>
      <c r="L47" s="109"/>
      <c r="M47" s="109"/>
      <c r="N47" s="109"/>
      <c r="O47" s="109"/>
    </row>
  </sheetData>
  <autoFilter ref="$B$35:$E$46">
    <sortState ref="B35:E46">
      <sortCondition ref="B35:B46"/>
      <sortCondition ref="E35:E46"/>
      <sortCondition ref="D35:D46"/>
    </sortState>
  </autoFilter>
  <mergeCells count="17">
    <mergeCell ref="B2:F2"/>
    <mergeCell ref="H2:N2"/>
    <mergeCell ref="B4:F4"/>
    <mergeCell ref="C5:C6"/>
    <mergeCell ref="E5:E6"/>
    <mergeCell ref="B8:F8"/>
    <mergeCell ref="C9:C10"/>
    <mergeCell ref="B29:C29"/>
    <mergeCell ref="C32:C33"/>
    <mergeCell ref="E9:E10"/>
    <mergeCell ref="B22:F22"/>
    <mergeCell ref="B27:F27"/>
    <mergeCell ref="B28:C28"/>
    <mergeCell ref="E28:F28"/>
    <mergeCell ref="E29:F29"/>
    <mergeCell ref="B31:F31"/>
    <mergeCell ref="E32:E33"/>
  </mergeCells>
  <dataValidations>
    <dataValidation type="list" allowBlank="1" showErrorMessage="1" sqref="D36:D46">
      <formula1>"Yes,No,Confirmed,unk"</formula1>
    </dataValidation>
  </dataValidations>
  <hyperlinks>
    <hyperlink r:id="rId1" ref="C35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11.5"/>
    <col customWidth="1" min="3" max="3" width="4.0"/>
    <col customWidth="1" min="4" max="4" width="10.5"/>
    <col customWidth="1" min="5" max="5" width="4.0"/>
    <col customWidth="1" min="6" max="6" width="10.88"/>
    <col customWidth="1" min="7" max="7" width="2.13"/>
    <col customWidth="1" min="8" max="8" width="6.63"/>
    <col customWidth="1" min="9" max="9" width="5.38"/>
    <col customWidth="1" min="10" max="10" width="6.5"/>
    <col customWidth="1" min="11" max="11" width="0.88"/>
    <col customWidth="1" min="12" max="12" width="6.13"/>
    <col customWidth="1" min="13" max="13" width="5.38"/>
    <col customWidth="1" min="14" max="14" width="6.5"/>
    <col customWidth="1" min="15" max="15" width="6.38"/>
  </cols>
  <sheetData>
    <row r="1">
      <c r="A1" s="101"/>
      <c r="B1" s="102"/>
      <c r="C1" s="102"/>
      <c r="D1" s="102"/>
      <c r="E1" s="102"/>
      <c r="F1" s="102"/>
      <c r="G1" s="103"/>
      <c r="H1" s="104"/>
      <c r="I1" s="104"/>
      <c r="J1" s="104"/>
      <c r="K1" s="104"/>
      <c r="L1" s="104"/>
      <c r="M1" s="104"/>
      <c r="N1" s="104"/>
      <c r="O1" s="103"/>
    </row>
    <row r="2">
      <c r="A2" s="101"/>
      <c r="B2" s="105" t="s">
        <v>129</v>
      </c>
      <c r="C2" s="7"/>
      <c r="D2" s="7"/>
      <c r="E2" s="7"/>
      <c r="F2" s="8"/>
      <c r="G2" s="103"/>
      <c r="H2" s="104" t="s">
        <v>125</v>
      </c>
      <c r="O2" s="103"/>
    </row>
    <row r="3" ht="7.5" customHeight="1">
      <c r="A3" s="108"/>
      <c r="B3" s="108"/>
      <c r="C3" s="108"/>
      <c r="D3" s="108"/>
      <c r="E3" s="108"/>
      <c r="F3" s="108"/>
      <c r="G3" s="109"/>
      <c r="H3" s="109"/>
      <c r="I3" s="109"/>
      <c r="J3" s="109"/>
      <c r="K3" s="109"/>
      <c r="L3" s="109"/>
      <c r="M3" s="109"/>
      <c r="N3" s="109"/>
      <c r="O3" s="109"/>
    </row>
    <row r="4">
      <c r="A4" s="110"/>
      <c r="B4" s="110"/>
      <c r="C4" s="110"/>
      <c r="D4" s="110"/>
      <c r="E4" s="110"/>
      <c r="F4" s="110"/>
      <c r="G4" s="112"/>
      <c r="H4" s="112"/>
      <c r="I4" s="112"/>
      <c r="J4" s="112"/>
      <c r="K4" s="112"/>
      <c r="L4" s="112"/>
      <c r="M4" s="112"/>
      <c r="N4" s="112"/>
      <c r="O4" s="112"/>
    </row>
    <row r="5">
      <c r="A5" s="110"/>
      <c r="B5" s="113">
        <v>0.7361111111111112</v>
      </c>
      <c r="C5" s="7"/>
      <c r="D5" s="7"/>
      <c r="E5" s="7"/>
      <c r="F5" s="8"/>
      <c r="G5" s="109"/>
      <c r="H5" s="246" t="str">
        <f t="array" ref="H5">INDEX(B6:F6, MATCH(MIN(B7:F7), B7:F7, 0))</f>
        <v>Bryan</v>
      </c>
      <c r="I5" s="247" t="s">
        <v>79</v>
      </c>
      <c r="J5" s="248"/>
      <c r="K5" s="117"/>
      <c r="L5" s="117"/>
      <c r="M5" s="117"/>
      <c r="N5" s="117"/>
      <c r="O5" s="112"/>
    </row>
    <row r="6">
      <c r="A6" s="110"/>
      <c r="B6" s="118" t="s">
        <v>20</v>
      </c>
      <c r="C6" s="249" t="s">
        <v>80</v>
      </c>
      <c r="D6" s="120" t="s">
        <v>25</v>
      </c>
      <c r="E6" s="249" t="s">
        <v>80</v>
      </c>
      <c r="F6" s="121" t="s">
        <v>27</v>
      </c>
      <c r="G6" s="109"/>
      <c r="H6" s="250" t="str">
        <f t="array" ref="H6">INDEX(B6:F6, MATCH(MEDIAN(B7:F7), B7:F7, 0))</f>
        <v>Joe</v>
      </c>
      <c r="I6" s="251">
        <f>MEDIAN(B6:F7)-MIN(B6:F7)</f>
        <v>2</v>
      </c>
      <c r="J6" s="252" t="s">
        <v>81</v>
      </c>
      <c r="K6" s="117"/>
      <c r="L6" s="246" t="str">
        <f t="array" ref="L6">INDEX(B6:F6, MATCH(MEDIAN(B7:F7), B7:F7, 0))</f>
        <v>Joe</v>
      </c>
      <c r="M6" s="247" t="s">
        <v>79</v>
      </c>
      <c r="N6" s="253"/>
      <c r="O6" s="112"/>
    </row>
    <row r="7">
      <c r="A7" s="110"/>
      <c r="B7" s="125">
        <f t="array" ref="B7">ROUNDUP(XLOOKUP(B6,'0512 Match Generator'!$B$47:$B$57,'0512 Match Generator'!$C$47:$C$57)/2,0)</f>
        <v>7</v>
      </c>
      <c r="C7" s="126"/>
      <c r="D7" s="127">
        <f t="array" ref="D7">ROUNDUP(XLOOKUP(D6,'0512 Match Generator'!$B$47:$B$57,'0512 Match Generator'!$C$47:$C$57)/2,0)</f>
        <v>9</v>
      </c>
      <c r="E7" s="126"/>
      <c r="F7" s="128">
        <f t="array" ref="F7">ROUNDUP(XLOOKUP(F6,'0512 Match Generator'!$B$47:$B$57,'0512 Match Generator'!$C$47:$C$57)/2,0)</f>
        <v>14</v>
      </c>
      <c r="G7" s="109"/>
      <c r="H7" s="254" t="str">
        <f t="array" ref="H7">INDEX(B6:F6, MATCH(MAX(B7:F7), B7:F7, 0))</f>
        <v>John</v>
      </c>
      <c r="I7" s="255">
        <f>MAX(B6:F7)-MIN(B6:F7)</f>
        <v>7</v>
      </c>
      <c r="J7" s="256" t="s">
        <v>81</v>
      </c>
      <c r="K7" s="112"/>
      <c r="L7" s="254" t="str">
        <f t="array" ref="L7">INDEX(B6:F6, MATCH(MAX(B7:F7), B7:F7, 0))</f>
        <v>John</v>
      </c>
      <c r="M7" s="255">
        <f>MAX(B6:F7)-MEDIAN(B6:F7)</f>
        <v>5</v>
      </c>
      <c r="N7" s="256" t="s">
        <v>81</v>
      </c>
      <c r="O7" s="112"/>
    </row>
    <row r="8">
      <c r="A8" s="110"/>
      <c r="B8" s="108"/>
      <c r="C8" s="108"/>
      <c r="D8" s="108"/>
      <c r="E8" s="108"/>
      <c r="F8" s="108"/>
      <c r="G8" s="112"/>
      <c r="H8" s="112"/>
      <c r="I8" s="112"/>
      <c r="J8" s="112"/>
      <c r="K8" s="112"/>
      <c r="L8" s="112"/>
      <c r="M8" s="112"/>
      <c r="N8" s="112"/>
      <c r="O8" s="112"/>
    </row>
    <row r="9">
      <c r="A9" s="110"/>
      <c r="B9" s="113">
        <v>0.7430555555555556</v>
      </c>
      <c r="C9" s="7"/>
      <c r="D9" s="7"/>
      <c r="E9" s="7"/>
      <c r="F9" s="8"/>
      <c r="G9" s="109"/>
      <c r="H9" s="246" t="str">
        <f t="array" ref="H9">INDEX(B10:F10, MATCH(MIN(B11:F11), B11:F11, 0))</f>
        <v>Brandt</v>
      </c>
      <c r="I9" s="247" t="s">
        <v>79</v>
      </c>
      <c r="J9" s="248"/>
      <c r="K9" s="117"/>
      <c r="L9" s="117"/>
      <c r="M9" s="117"/>
      <c r="N9" s="117"/>
      <c r="O9" s="112"/>
    </row>
    <row r="10">
      <c r="A10" s="110"/>
      <c r="B10" s="118" t="s">
        <v>29</v>
      </c>
      <c r="C10" s="249" t="s">
        <v>80</v>
      </c>
      <c r="D10" s="120" t="s">
        <v>21</v>
      </c>
      <c r="E10" s="249" t="s">
        <v>80</v>
      </c>
      <c r="F10" s="121" t="s">
        <v>26</v>
      </c>
      <c r="G10" s="109"/>
      <c r="H10" s="250" t="str">
        <f t="array" ref="H10">INDEX(B10:F10, MATCH(MEDIAN(B11:F11), B11:F11, 0))</f>
        <v>Bird</v>
      </c>
      <c r="I10" s="251">
        <f>MEDIAN(B10:F11)-MIN(B10:F11)</f>
        <v>4</v>
      </c>
      <c r="J10" s="252" t="s">
        <v>81</v>
      </c>
      <c r="K10" s="117"/>
      <c r="L10" s="246" t="str">
        <f t="array" ref="L10">INDEX(B10:F10, MATCH(MEDIAN(B11:F11), B11:F11, 0))</f>
        <v>Bird</v>
      </c>
      <c r="M10" s="247" t="s">
        <v>79</v>
      </c>
      <c r="N10" s="253"/>
      <c r="O10" s="112"/>
    </row>
    <row r="11">
      <c r="A11" s="110"/>
      <c r="B11" s="125">
        <f t="array" ref="B11">ROUNDUP(XLOOKUP(B10,'0512 Match Generator'!$B$47:$B$57,'0512 Match Generator'!$C$47:$C$57)/2,0)</f>
        <v>5</v>
      </c>
      <c r="C11" s="126"/>
      <c r="D11" s="127">
        <f t="array" ref="D11">ROUNDUP(XLOOKUP(D10,'0512 Match Generator'!$B$47:$B$57,'0512 Match Generator'!$C$47:$C$57)/2,0)</f>
        <v>9</v>
      </c>
      <c r="E11" s="126"/>
      <c r="F11" s="128">
        <f t="array" ref="F11">ROUNDUP(XLOOKUP(F10,'0512 Match Generator'!$B$47:$B$57,'0512 Match Generator'!$C$47:$C$57)/2,0)</f>
        <v>14</v>
      </c>
      <c r="G11" s="109"/>
      <c r="H11" s="254" t="str">
        <f t="array" ref="H11">INDEX(B10:F10, MATCH(MAX(B11:F11), B11:F11, 0))</f>
        <v>Hunter</v>
      </c>
      <c r="I11" s="255">
        <f>MAX(B10:F11)-MIN(B10:F11)</f>
        <v>9</v>
      </c>
      <c r="J11" s="256" t="s">
        <v>81</v>
      </c>
      <c r="K11" s="112"/>
      <c r="L11" s="254" t="str">
        <f t="array" ref="L11">INDEX(B10:F10, MATCH(MAX(B11:F11), B11:F11, 0))</f>
        <v>Hunter</v>
      </c>
      <c r="M11" s="255">
        <f>MAX(B10:F11)-MEDIAN(B10:F11)</f>
        <v>5</v>
      </c>
      <c r="N11" s="256" t="s">
        <v>81</v>
      </c>
      <c r="O11" s="112"/>
    </row>
    <row r="12">
      <c r="A12" s="110"/>
      <c r="B12" s="108"/>
      <c r="C12" s="108"/>
      <c r="D12" s="108"/>
      <c r="E12" s="108"/>
      <c r="F12" s="108"/>
      <c r="G12" s="112"/>
      <c r="H12" s="112"/>
      <c r="I12" s="112"/>
      <c r="J12" s="112"/>
      <c r="K12" s="112"/>
      <c r="L12" s="112"/>
      <c r="M12" s="112"/>
      <c r="N12" s="112"/>
      <c r="O12" s="112"/>
    </row>
    <row r="13">
      <c r="A13" s="110"/>
      <c r="B13" s="113">
        <v>0.75</v>
      </c>
      <c r="C13" s="7"/>
      <c r="D13" s="7"/>
      <c r="E13" s="7"/>
      <c r="F13" s="8"/>
      <c r="G13" s="109"/>
      <c r="H13" s="246" t="str">
        <f t="array" ref="H13">INDEX(B14:F14, MATCH(MIN(B15:F15), B15:F15, 0))</f>
        <v>Joey</v>
      </c>
      <c r="I13" s="247" t="s">
        <v>79</v>
      </c>
      <c r="J13" s="248"/>
      <c r="K13" s="117"/>
      <c r="L13" s="117"/>
      <c r="M13" s="117"/>
      <c r="N13" s="117"/>
      <c r="O13" s="117"/>
    </row>
    <row r="14">
      <c r="A14" s="110"/>
      <c r="B14" s="118" t="s">
        <v>24</v>
      </c>
      <c r="C14" s="249" t="s">
        <v>80</v>
      </c>
      <c r="D14" s="120" t="s">
        <v>22</v>
      </c>
      <c r="E14" s="249" t="s">
        <v>80</v>
      </c>
      <c r="F14" s="121" t="s">
        <v>18</v>
      </c>
      <c r="G14" s="109"/>
      <c r="H14" s="250" t="str">
        <f t="array" ref="H14">INDEX(B14:F14, MATCH(MEDIAN(B15:F15), B15:F15, 0))</f>
        <v>GT</v>
      </c>
      <c r="I14" s="251">
        <f>MEDIAN(B14:F15)-MIN(B14:F15)</f>
        <v>1</v>
      </c>
      <c r="J14" s="252" t="s">
        <v>81</v>
      </c>
      <c r="K14" s="117"/>
      <c r="L14" s="246" t="str">
        <f t="array" ref="L14">INDEX(B14:F14, MATCH(MEDIAN(B15:F15), B15:F15, 0))</f>
        <v>GT</v>
      </c>
      <c r="M14" s="247" t="s">
        <v>79</v>
      </c>
      <c r="N14" s="253"/>
      <c r="O14" s="117"/>
    </row>
    <row r="15">
      <c r="A15" s="110"/>
      <c r="B15" s="125">
        <f t="array" ref="B15">ROUNDUP(XLOOKUP(B14,'0512 Match Generator'!$B$47:$B$57,'0512 Match Generator'!$C$47:$C$57)/2,0)</f>
        <v>7</v>
      </c>
      <c r="C15" s="126"/>
      <c r="D15" s="127">
        <f t="array" ref="D15">ROUNDUP(XLOOKUP(D14,'0512 Match Generator'!$B$47:$B$57,'0512 Match Generator'!$C$47:$C$57)/2,0)</f>
        <v>11</v>
      </c>
      <c r="E15" s="126"/>
      <c r="F15" s="128">
        <f t="array" ref="F15">ROUNDUP(XLOOKUP(F14,'0512 Match Generator'!$B$47:$B$57,'0512 Match Generator'!$C$47:$C$57)/2,0)</f>
        <v>6</v>
      </c>
      <c r="G15" s="109"/>
      <c r="H15" s="254" t="str">
        <f t="array" ref="H15">INDEX(B14:F14, MATCH(MAX(B15:F15), B15:F15, 0))</f>
        <v>Zach</v>
      </c>
      <c r="I15" s="255">
        <f>MAX(B14:F15)-MIN(B14:F15)</f>
        <v>5</v>
      </c>
      <c r="J15" s="256" t="s">
        <v>81</v>
      </c>
      <c r="K15" s="112"/>
      <c r="L15" s="254" t="str">
        <f t="array" ref="L15">INDEX(B14:F14, MATCH(MAX(B15:F15), B15:F15, 0))</f>
        <v>Zach</v>
      </c>
      <c r="M15" s="255">
        <f>MAX(B14:F15)-MEDIAN(B14:F15)</f>
        <v>4</v>
      </c>
      <c r="N15" s="256" t="s">
        <v>81</v>
      </c>
      <c r="O15" s="117"/>
    </row>
    <row r="16">
      <c r="A16" s="110"/>
      <c r="B16" s="108"/>
      <c r="C16" s="108"/>
      <c r="D16" s="108"/>
      <c r="E16" s="108"/>
      <c r="F16" s="108"/>
      <c r="G16" s="112"/>
      <c r="H16" s="112"/>
      <c r="I16" s="112"/>
      <c r="J16" s="112"/>
      <c r="K16" s="112"/>
      <c r="L16" s="112"/>
      <c r="M16" s="112"/>
      <c r="N16" s="112"/>
      <c r="O16" s="112"/>
    </row>
    <row r="17">
      <c r="A17" s="110"/>
      <c r="B17" s="110"/>
      <c r="C17" s="110"/>
      <c r="D17" s="110"/>
      <c r="E17" s="110"/>
      <c r="F17" s="110"/>
      <c r="G17" s="112"/>
      <c r="H17" s="112"/>
      <c r="I17" s="112"/>
      <c r="J17" s="112"/>
      <c r="K17" s="112"/>
      <c r="L17" s="112"/>
      <c r="M17" s="112"/>
      <c r="N17" s="112"/>
      <c r="O17" s="112"/>
    </row>
    <row r="18">
      <c r="A18" s="110"/>
      <c r="B18" s="110"/>
      <c r="C18" s="110"/>
      <c r="D18" s="110"/>
      <c r="E18" s="110"/>
      <c r="F18" s="110"/>
      <c r="G18" s="112"/>
      <c r="H18" s="112"/>
      <c r="I18" s="112"/>
      <c r="J18" s="112"/>
      <c r="K18" s="112"/>
      <c r="L18" s="112"/>
      <c r="M18" s="112"/>
      <c r="N18" s="112"/>
      <c r="O18" s="112"/>
    </row>
    <row r="19">
      <c r="A19" s="110"/>
      <c r="B19" s="110"/>
      <c r="C19" s="110"/>
      <c r="D19" s="110"/>
      <c r="E19" s="110"/>
      <c r="F19" s="110"/>
      <c r="G19" s="112"/>
      <c r="H19" s="112"/>
      <c r="I19" s="112"/>
      <c r="J19" s="112"/>
      <c r="K19" s="112"/>
      <c r="L19" s="112"/>
      <c r="M19" s="112"/>
      <c r="N19" s="112"/>
      <c r="O19" s="112"/>
    </row>
    <row r="20">
      <c r="A20" s="110"/>
      <c r="B20" s="110"/>
      <c r="C20" s="110"/>
      <c r="D20" s="110"/>
      <c r="E20" s="110"/>
      <c r="F20" s="110"/>
      <c r="G20" s="112"/>
      <c r="H20" s="112"/>
      <c r="I20" s="112"/>
      <c r="J20" s="112"/>
      <c r="K20" s="112"/>
      <c r="L20" s="112"/>
      <c r="M20" s="112"/>
      <c r="N20" s="112"/>
      <c r="O20" s="112"/>
    </row>
    <row r="21">
      <c r="A21" s="110"/>
      <c r="B21" s="110"/>
      <c r="C21" s="110"/>
      <c r="D21" s="110"/>
      <c r="E21" s="110"/>
      <c r="F21" s="110"/>
      <c r="G21" s="112"/>
      <c r="H21" s="112"/>
      <c r="I21" s="112"/>
      <c r="J21" s="112"/>
      <c r="K21" s="112"/>
      <c r="L21" s="112"/>
      <c r="M21" s="112"/>
      <c r="N21" s="112"/>
      <c r="O21" s="112"/>
    </row>
    <row r="22">
      <c r="A22" s="110"/>
      <c r="B22" s="110"/>
      <c r="C22" s="110"/>
      <c r="D22" s="110"/>
      <c r="E22" s="110"/>
      <c r="F22" s="110"/>
      <c r="G22" s="112"/>
      <c r="H22" s="112"/>
      <c r="I22" s="112"/>
      <c r="J22" s="112"/>
      <c r="K22" s="112"/>
      <c r="L22" s="112"/>
      <c r="M22" s="112"/>
      <c r="N22" s="112"/>
      <c r="O22" s="112"/>
    </row>
    <row r="23">
      <c r="A23" s="110"/>
      <c r="B23" s="110"/>
      <c r="C23" s="110"/>
      <c r="D23" s="110"/>
      <c r="E23" s="110"/>
      <c r="F23" s="110"/>
      <c r="G23" s="112"/>
      <c r="H23" s="112"/>
      <c r="I23" s="112"/>
      <c r="J23" s="112"/>
      <c r="K23" s="112"/>
      <c r="L23" s="112"/>
      <c r="M23" s="112"/>
      <c r="N23" s="112"/>
      <c r="O23" s="112"/>
    </row>
    <row r="24">
      <c r="A24" s="110"/>
      <c r="B24" s="110"/>
      <c r="C24" s="110"/>
      <c r="D24" s="110"/>
      <c r="E24" s="110"/>
      <c r="F24" s="110"/>
      <c r="G24" s="112"/>
      <c r="H24" s="112"/>
      <c r="I24" s="112"/>
      <c r="J24" s="112"/>
      <c r="K24" s="112"/>
      <c r="L24" s="112"/>
      <c r="M24" s="112"/>
      <c r="N24" s="112"/>
      <c r="O24" s="112"/>
    </row>
    <row r="25">
      <c r="A25" s="110"/>
      <c r="B25" s="110"/>
      <c r="C25" s="110"/>
      <c r="D25" s="110"/>
      <c r="E25" s="110"/>
      <c r="F25" s="110"/>
      <c r="G25" s="112"/>
      <c r="H25" s="112"/>
      <c r="I25" s="112"/>
      <c r="J25" s="112"/>
      <c r="K25" s="112"/>
      <c r="L25" s="112"/>
      <c r="M25" s="112"/>
      <c r="N25" s="112"/>
      <c r="O25" s="112"/>
    </row>
    <row r="26">
      <c r="A26" s="110"/>
      <c r="B26" s="110"/>
      <c r="C26" s="110"/>
      <c r="D26" s="110"/>
      <c r="E26" s="110"/>
      <c r="F26" s="110"/>
      <c r="G26" s="112"/>
      <c r="H26" s="112"/>
      <c r="I26" s="112"/>
      <c r="J26" s="112"/>
      <c r="K26" s="112"/>
      <c r="L26" s="112"/>
      <c r="M26" s="112"/>
      <c r="N26" s="112"/>
      <c r="O26" s="112"/>
    </row>
    <row r="27">
      <c r="A27" s="110"/>
      <c r="B27" s="110"/>
      <c r="C27" s="110"/>
      <c r="D27" s="110"/>
      <c r="E27" s="110"/>
      <c r="F27" s="110"/>
      <c r="G27" s="112"/>
      <c r="H27" s="112"/>
      <c r="I27" s="112"/>
      <c r="J27" s="112"/>
      <c r="K27" s="112"/>
      <c r="L27" s="112"/>
      <c r="M27" s="112"/>
      <c r="N27" s="112"/>
      <c r="O27" s="112"/>
    </row>
    <row r="28">
      <c r="A28" s="110"/>
      <c r="B28" s="110"/>
      <c r="C28" s="110"/>
      <c r="D28" s="110"/>
      <c r="E28" s="110"/>
      <c r="F28" s="110"/>
      <c r="G28" s="112"/>
      <c r="H28" s="112"/>
      <c r="I28" s="112"/>
      <c r="J28" s="112"/>
      <c r="K28" s="112"/>
      <c r="L28" s="112"/>
      <c r="M28" s="112"/>
      <c r="N28" s="112"/>
      <c r="O28" s="112"/>
    </row>
    <row r="29">
      <c r="A29" s="110"/>
      <c r="B29" s="110"/>
      <c r="C29" s="110"/>
      <c r="D29" s="110"/>
      <c r="E29" s="110"/>
      <c r="F29" s="110"/>
      <c r="G29" s="112"/>
      <c r="H29" s="112"/>
      <c r="I29" s="112"/>
      <c r="J29" s="112"/>
      <c r="K29" s="112"/>
      <c r="L29" s="112"/>
      <c r="M29" s="112"/>
      <c r="N29" s="112"/>
      <c r="O29" s="112"/>
    </row>
    <row r="30">
      <c r="A30" s="110"/>
      <c r="B30" s="110"/>
      <c r="C30" s="110"/>
      <c r="D30" s="110"/>
      <c r="E30" s="110"/>
      <c r="F30" s="110"/>
      <c r="G30" s="112"/>
      <c r="H30" s="112"/>
      <c r="I30" s="112"/>
      <c r="J30" s="112"/>
      <c r="K30" s="112"/>
      <c r="L30" s="112"/>
      <c r="M30" s="112"/>
      <c r="N30" s="112"/>
      <c r="O30" s="112"/>
    </row>
    <row r="31">
      <c r="A31" s="110"/>
      <c r="B31" s="110"/>
      <c r="C31" s="110"/>
      <c r="D31" s="110"/>
      <c r="E31" s="110"/>
      <c r="F31" s="110"/>
      <c r="G31" s="112"/>
      <c r="H31" s="112"/>
      <c r="I31" s="112"/>
      <c r="J31" s="112"/>
      <c r="K31" s="112"/>
      <c r="L31" s="112"/>
      <c r="M31" s="112"/>
      <c r="N31" s="112"/>
      <c r="O31" s="112"/>
    </row>
    <row r="32">
      <c r="A32" s="108"/>
      <c r="B32" s="139"/>
      <c r="C32" s="139"/>
      <c r="D32" s="139"/>
      <c r="E32" s="139"/>
      <c r="F32" s="139"/>
      <c r="G32" s="109"/>
      <c r="H32" s="109"/>
      <c r="I32" s="109"/>
      <c r="J32" s="109"/>
      <c r="K32" s="109"/>
      <c r="L32" s="109"/>
      <c r="M32" s="109"/>
      <c r="N32" s="109"/>
      <c r="O32" s="109"/>
    </row>
    <row r="33">
      <c r="A33" s="108"/>
      <c r="B33" s="140" t="s">
        <v>82</v>
      </c>
      <c r="C33" s="7"/>
      <c r="D33" s="7"/>
      <c r="E33" s="7"/>
      <c r="F33" s="8"/>
      <c r="G33" s="109"/>
      <c r="H33" s="109"/>
      <c r="I33" s="109"/>
      <c r="J33" s="109"/>
      <c r="K33" s="109"/>
      <c r="L33" s="109"/>
      <c r="M33" s="109"/>
      <c r="N33" s="109"/>
      <c r="O33" s="109"/>
    </row>
    <row r="34">
      <c r="A34" s="108"/>
      <c r="B34" s="118"/>
      <c r="C34" s="244"/>
      <c r="D34" s="119" t="s">
        <v>80</v>
      </c>
      <c r="E34" s="133"/>
      <c r="F34" s="121"/>
      <c r="G34" s="109"/>
      <c r="H34" s="109"/>
      <c r="I34" s="109"/>
      <c r="J34" s="109"/>
      <c r="K34" s="109"/>
      <c r="L34" s="109"/>
      <c r="M34" s="109"/>
      <c r="N34" s="109"/>
      <c r="O34" s="109"/>
    </row>
    <row r="35">
      <c r="A35" s="108"/>
      <c r="B35" s="147" t="str">
        <f t="array" ref="B35">ROUNDUP(XLOOKUP(B34,'0512 Match Generator'!$B$47:$B$57,'0512 Match Generator'!$C$47:$C$57)/2,0)</f>
        <v>#N/A</v>
      </c>
      <c r="C35" s="148" t="str">
        <f t="array" ref="C35">ROUNDUP(XLOOKUP(C34,'0512 Match Generator'!$B$47:$B$57,'0512 Match Generator'!$C$47:$C$57)/2,0)</f>
        <v>#N/A</v>
      </c>
      <c r="D35" s="245" t="s">
        <v>126</v>
      </c>
      <c r="E35" s="151" t="str">
        <f t="array" ref="E35">ROUNDUP(XLOOKUP(E34,'0512 Match Generator'!$B$47:$B$57,'0512 Match Generator'!$C$47:$C$57)/2,0)</f>
        <v>#N/A</v>
      </c>
      <c r="F35" s="153" t="str">
        <f t="array" ref="F35">ROUNDUP(XLOOKUP(F34,'0512 Match Generator'!$B$47:$B$57,'0512 Match Generator'!$C$47:$C$57)/2,0)</f>
        <v>#N/A</v>
      </c>
      <c r="G35" s="109"/>
      <c r="H35" s="109"/>
      <c r="I35" s="109"/>
      <c r="J35" s="109"/>
      <c r="K35" s="109"/>
      <c r="L35" s="109"/>
      <c r="M35" s="109"/>
      <c r="N35" s="109"/>
      <c r="O35" s="109"/>
    </row>
    <row r="36">
      <c r="A36" s="108"/>
      <c r="B36" s="125" t="s">
        <v>127</v>
      </c>
      <c r="C36" s="154" t="str">
        <f>B35+C35</f>
        <v>#N/A</v>
      </c>
      <c r="D36" s="136" t="str">
        <f>ABS(C36-F36)</f>
        <v>#N/A</v>
      </c>
      <c r="E36" s="137" t="s">
        <v>127</v>
      </c>
      <c r="F36" s="128" t="str">
        <f>E35+F35</f>
        <v>#N/A</v>
      </c>
      <c r="G36" s="109"/>
      <c r="H36" s="109"/>
      <c r="I36" s="109"/>
      <c r="J36" s="109"/>
      <c r="K36" s="109"/>
      <c r="L36" s="109"/>
      <c r="M36" s="109"/>
      <c r="N36" s="109"/>
      <c r="O36" s="109"/>
    </row>
    <row r="37">
      <c r="A37" s="108"/>
      <c r="B37" s="108"/>
      <c r="C37" s="108"/>
      <c r="D37" s="108"/>
      <c r="E37" s="108"/>
      <c r="F37" s="108"/>
      <c r="G37" s="109"/>
      <c r="H37" s="109"/>
      <c r="I37" s="109"/>
      <c r="J37" s="109"/>
      <c r="K37" s="109"/>
      <c r="L37" s="109"/>
      <c r="M37" s="109"/>
      <c r="N37" s="109"/>
      <c r="O37" s="109"/>
    </row>
    <row r="38">
      <c r="A38" s="108"/>
      <c r="B38" s="140" t="s">
        <v>85</v>
      </c>
      <c r="C38" s="7"/>
      <c r="D38" s="7"/>
      <c r="E38" s="7"/>
      <c r="F38" s="8"/>
      <c r="G38" s="109"/>
      <c r="H38" s="109"/>
      <c r="I38" s="109"/>
      <c r="J38" s="109"/>
      <c r="K38" s="109"/>
      <c r="L38" s="109"/>
      <c r="M38" s="109"/>
      <c r="N38" s="109"/>
      <c r="O38" s="109"/>
    </row>
    <row r="39">
      <c r="A39" s="108"/>
      <c r="B39" s="118"/>
      <c r="C39" s="132"/>
      <c r="D39" s="119" t="s">
        <v>80</v>
      </c>
      <c r="E39" s="133"/>
      <c r="F39" s="134"/>
      <c r="G39" s="109"/>
      <c r="H39" s="109"/>
      <c r="I39" s="109"/>
      <c r="J39" s="109"/>
      <c r="K39" s="109"/>
      <c r="L39" s="109"/>
      <c r="M39" s="109"/>
      <c r="N39" s="109"/>
      <c r="O39" s="109"/>
    </row>
    <row r="40">
      <c r="A40" s="108"/>
      <c r="B40" s="125" t="str">
        <f t="array" ref="B40">ROUNDUP(XLOOKUP(B39,'0512 Match Generator'!$B$47:$B$57,'0512 Match Generator'!$C$47:$C$57)/2,0)</f>
        <v>#N/A</v>
      </c>
      <c r="C40" s="135"/>
      <c r="D40" s="136" t="str">
        <f>ABS(B40-E40)</f>
        <v>#N/A</v>
      </c>
      <c r="E40" s="137" t="str">
        <f t="array" ref="E40">ROUNDUP(XLOOKUP(E39,'0512 Match Generator'!$B$47:$B$57,'0512 Match Generator'!$C$47:$C$57)/2,0)</f>
        <v>#N/A</v>
      </c>
      <c r="F40" s="138"/>
      <c r="G40" s="109"/>
      <c r="H40" s="109"/>
      <c r="I40" s="109"/>
      <c r="J40" s="109"/>
      <c r="K40" s="109"/>
      <c r="L40" s="109"/>
      <c r="M40" s="109"/>
      <c r="N40" s="109"/>
      <c r="O40" s="109"/>
    </row>
    <row r="41">
      <c r="A41" s="108"/>
      <c r="B41" s="108"/>
      <c r="C41" s="108"/>
      <c r="D41" s="108"/>
      <c r="E41" s="108"/>
      <c r="F41" s="108"/>
      <c r="G41" s="109"/>
      <c r="H41" s="109"/>
      <c r="I41" s="109"/>
      <c r="J41" s="109"/>
      <c r="K41" s="109"/>
      <c r="L41" s="109"/>
      <c r="M41" s="109"/>
      <c r="N41" s="109"/>
      <c r="O41" s="109"/>
    </row>
    <row r="42">
      <c r="A42" s="108"/>
      <c r="B42" s="140" t="s">
        <v>67</v>
      </c>
      <c r="C42" s="7"/>
      <c r="D42" s="7"/>
      <c r="E42" s="7"/>
      <c r="F42" s="8"/>
      <c r="G42" s="109"/>
      <c r="H42" s="114" t="str">
        <f t="array" ref="H42">INDEX(B43:F43, MATCH(MIN(B44:F44), B44:F44, 0))</f>
        <v>#N/A</v>
      </c>
      <c r="I42" s="115" t="s">
        <v>79</v>
      </c>
      <c r="J42" s="116"/>
      <c r="K42" s="117"/>
      <c r="L42" s="117"/>
      <c r="M42" s="117"/>
      <c r="N42" s="117"/>
      <c r="O42" s="109"/>
    </row>
    <row r="43">
      <c r="A43" s="108"/>
      <c r="B43" s="118"/>
      <c r="C43" s="119" t="s">
        <v>80</v>
      </c>
      <c r="D43" s="120"/>
      <c r="E43" s="119" t="s">
        <v>80</v>
      </c>
      <c r="F43" s="121"/>
      <c r="G43" s="109"/>
      <c r="H43" s="122" t="str">
        <f t="array" ref="H43">INDEX(B43:F43, MATCH(MEDIAN(B44:F44), B44:F44, 0))</f>
        <v>#N/A</v>
      </c>
      <c r="I43" s="123" t="str">
        <f>MEDIAN(B43:F44)-MIN(B43:F44)</f>
        <v>#N/A</v>
      </c>
      <c r="J43" s="124" t="s">
        <v>81</v>
      </c>
      <c r="K43" s="117"/>
      <c r="L43" s="114" t="str">
        <f t="array" ref="L43">INDEX(B43:F43, MATCH(MEDIAN(B44:F44), B44:F44, 0))</f>
        <v>#N/A</v>
      </c>
      <c r="M43" s="115" t="s">
        <v>79</v>
      </c>
      <c r="N43" s="158"/>
      <c r="O43" s="109"/>
    </row>
    <row r="44">
      <c r="A44" s="108"/>
      <c r="B44" s="125" t="str">
        <f t="array" ref="B44">ROUNDUP(XLOOKUP(B43,'0512 Match Generator'!$B$47:$B$57,'0512 Match Generator'!$C$47:$C$57)/2,0)</f>
        <v>#N/A</v>
      </c>
      <c r="C44" s="126"/>
      <c r="D44" s="127" t="str">
        <f t="array" ref="D44">ROUNDUP(XLOOKUP(D43,'0512 Match Generator'!$B$47:$B$57,'0512 Match Generator'!$C$47:$C$57)/2,0)</f>
        <v>#N/A</v>
      </c>
      <c r="E44" s="126"/>
      <c r="F44" s="128" t="str">
        <f t="array" ref="F44">ROUNDUP(XLOOKUP(F43,'0512 Match Generator'!$B$47:$B$57,'0512 Match Generator'!$C$47:$C$57)/2,0)</f>
        <v>#N/A</v>
      </c>
      <c r="G44" s="109"/>
      <c r="H44" s="129" t="str">
        <f t="array" ref="H44">INDEX(B43:F43, MATCH(MAX(B44:F44), B44:F44, 0))</f>
        <v>#N/A</v>
      </c>
      <c r="I44" s="130" t="str">
        <f>MAX(B43:F44)-MIN(B43:F44)</f>
        <v>#N/A</v>
      </c>
      <c r="J44" s="131" t="s">
        <v>81</v>
      </c>
      <c r="K44" s="112"/>
      <c r="L44" s="129" t="str">
        <f t="array" ref="L44">INDEX(B43:F43, MATCH(MAX(B44:F44), B44:F44, 0))</f>
        <v>#N/A</v>
      </c>
      <c r="M44" s="130" t="str">
        <f>MAX(B43:F44)-MEDIAN(B43:F44)</f>
        <v>#N/A</v>
      </c>
      <c r="N44" s="131" t="s">
        <v>81</v>
      </c>
      <c r="O44" s="109"/>
    </row>
    <row r="45">
      <c r="A45" s="108"/>
      <c r="B45" s="108"/>
      <c r="C45" s="108"/>
      <c r="D45" s="108"/>
      <c r="E45" s="108"/>
      <c r="F45" s="108"/>
      <c r="G45" s="109"/>
      <c r="H45" s="109"/>
      <c r="I45" s="109"/>
      <c r="J45" s="109"/>
      <c r="K45" s="109"/>
      <c r="L45" s="109"/>
      <c r="M45" s="109"/>
      <c r="N45" s="109"/>
      <c r="O45" s="109"/>
    </row>
    <row r="46">
      <c r="A46" s="108"/>
      <c r="B46" s="159"/>
      <c r="C46" s="160" t="s">
        <v>86</v>
      </c>
      <c r="D46" s="161"/>
      <c r="E46" s="108"/>
      <c r="F46" s="108"/>
      <c r="G46" s="109"/>
      <c r="H46" s="109"/>
      <c r="I46" s="109"/>
      <c r="J46" s="109"/>
      <c r="K46" s="109"/>
      <c r="L46" s="109"/>
      <c r="M46" s="109"/>
      <c r="N46" s="109"/>
      <c r="O46" s="109"/>
    </row>
    <row r="47">
      <c r="A47" s="108"/>
      <c r="B47" s="69" t="s">
        <v>21</v>
      </c>
      <c r="C47" s="69">
        <v>16.8</v>
      </c>
      <c r="D47" s="69" t="s">
        <v>59</v>
      </c>
      <c r="E47" s="162"/>
      <c r="F47" s="162"/>
      <c r="G47" s="109"/>
      <c r="H47" s="109"/>
      <c r="I47" s="109"/>
      <c r="J47" s="109"/>
      <c r="K47" s="109"/>
      <c r="L47" s="109"/>
      <c r="M47" s="109"/>
      <c r="N47" s="109"/>
      <c r="O47" s="109"/>
    </row>
    <row r="48">
      <c r="A48" s="108"/>
      <c r="B48" s="69" t="s">
        <v>29</v>
      </c>
      <c r="C48" s="69">
        <v>9.1</v>
      </c>
      <c r="D48" s="69" t="s">
        <v>59</v>
      </c>
      <c r="E48" s="162"/>
      <c r="F48" s="162"/>
      <c r="G48" s="109"/>
      <c r="H48" s="109"/>
      <c r="I48" s="109"/>
      <c r="J48" s="109"/>
      <c r="K48" s="109"/>
      <c r="L48" s="109"/>
      <c r="M48" s="109"/>
      <c r="N48" s="109"/>
      <c r="O48" s="109"/>
    </row>
    <row r="49">
      <c r="A49" s="108"/>
      <c r="B49" s="69" t="s">
        <v>20</v>
      </c>
      <c r="C49" s="69">
        <v>13.9</v>
      </c>
      <c r="D49" s="69" t="s">
        <v>59</v>
      </c>
      <c r="E49" s="162"/>
      <c r="F49" s="162"/>
      <c r="G49" s="109"/>
      <c r="H49" s="109"/>
      <c r="I49" s="109"/>
      <c r="J49" s="109"/>
      <c r="K49" s="109"/>
      <c r="L49" s="109"/>
      <c r="M49" s="109"/>
      <c r="N49" s="109"/>
      <c r="O49" s="109"/>
    </row>
    <row r="50">
      <c r="A50" s="108"/>
      <c r="B50" s="69" t="s">
        <v>24</v>
      </c>
      <c r="C50" s="69">
        <v>12.7</v>
      </c>
      <c r="D50" s="69" t="s">
        <v>59</v>
      </c>
      <c r="E50" s="162"/>
      <c r="F50" s="162"/>
      <c r="G50" s="109"/>
      <c r="H50" s="109"/>
      <c r="I50" s="109"/>
      <c r="J50" s="109"/>
      <c r="K50" s="109"/>
      <c r="L50" s="109"/>
      <c r="M50" s="109"/>
      <c r="N50" s="109"/>
      <c r="O50" s="109"/>
    </row>
    <row r="51">
      <c r="A51" s="108"/>
      <c r="B51" s="69" t="s">
        <v>26</v>
      </c>
      <c r="C51" s="69">
        <v>28.0</v>
      </c>
      <c r="D51" s="69" t="s">
        <v>59</v>
      </c>
      <c r="E51" s="162"/>
      <c r="F51" s="162"/>
      <c r="G51" s="109"/>
      <c r="H51" s="109"/>
      <c r="I51" s="109"/>
      <c r="J51" s="109"/>
      <c r="K51" s="109"/>
      <c r="L51" s="109"/>
      <c r="M51" s="109"/>
      <c r="N51" s="109"/>
      <c r="O51" s="109"/>
    </row>
    <row r="52">
      <c r="A52" s="108"/>
      <c r="B52" s="69" t="s">
        <v>25</v>
      </c>
      <c r="C52" s="69">
        <v>17.9</v>
      </c>
      <c r="D52" s="69" t="s">
        <v>59</v>
      </c>
      <c r="E52" s="162"/>
      <c r="F52" s="162"/>
      <c r="G52" s="109"/>
      <c r="H52" s="109"/>
      <c r="I52" s="109"/>
      <c r="J52" s="109"/>
      <c r="K52" s="109"/>
      <c r="L52" s="109"/>
      <c r="M52" s="109"/>
      <c r="N52" s="109"/>
      <c r="O52" s="109"/>
    </row>
    <row r="53">
      <c r="A53" s="108"/>
      <c r="B53" s="69" t="s">
        <v>18</v>
      </c>
      <c r="C53" s="69">
        <v>10.9</v>
      </c>
      <c r="D53" s="69" t="s">
        <v>59</v>
      </c>
      <c r="E53" s="162"/>
      <c r="F53" s="162"/>
      <c r="G53" s="109"/>
      <c r="H53" s="109"/>
      <c r="I53" s="109"/>
      <c r="J53" s="109"/>
      <c r="K53" s="109"/>
      <c r="L53" s="109"/>
      <c r="M53" s="109"/>
      <c r="N53" s="109"/>
      <c r="O53" s="109"/>
    </row>
    <row r="54">
      <c r="A54" s="108"/>
      <c r="B54" s="69" t="s">
        <v>27</v>
      </c>
      <c r="C54" s="69">
        <v>28.0</v>
      </c>
      <c r="D54" s="69" t="s">
        <v>59</v>
      </c>
      <c r="E54" s="162"/>
      <c r="F54" s="162"/>
      <c r="G54" s="109"/>
      <c r="H54" s="109"/>
      <c r="I54" s="109"/>
      <c r="J54" s="109"/>
      <c r="K54" s="109"/>
      <c r="L54" s="109"/>
      <c r="M54" s="109"/>
      <c r="N54" s="109"/>
      <c r="O54" s="109"/>
    </row>
    <row r="55">
      <c r="A55" s="108"/>
      <c r="B55" s="69" t="s">
        <v>22</v>
      </c>
      <c r="C55" s="69">
        <v>21.0</v>
      </c>
      <c r="D55" s="69" t="s">
        <v>59</v>
      </c>
      <c r="E55" s="162"/>
      <c r="F55" s="162"/>
      <c r="G55" s="109"/>
      <c r="H55" s="109"/>
      <c r="I55" s="109"/>
      <c r="J55" s="109"/>
      <c r="K55" s="109"/>
      <c r="L55" s="109"/>
      <c r="M55" s="109"/>
      <c r="N55" s="109"/>
      <c r="O55" s="109"/>
    </row>
    <row r="56">
      <c r="A56" s="108"/>
      <c r="B56" s="69" t="s">
        <v>28</v>
      </c>
      <c r="C56" s="69">
        <v>28.0</v>
      </c>
      <c r="D56" s="69" t="s">
        <v>61</v>
      </c>
      <c r="E56" s="162"/>
      <c r="F56" s="162"/>
      <c r="G56" s="109"/>
      <c r="H56" s="109"/>
      <c r="I56" s="109"/>
      <c r="J56" s="109"/>
      <c r="K56" s="109"/>
      <c r="L56" s="109"/>
      <c r="M56" s="109"/>
      <c r="N56" s="109"/>
      <c r="O56" s="109"/>
    </row>
    <row r="57">
      <c r="A57" s="108"/>
      <c r="B57" s="69" t="s">
        <v>23</v>
      </c>
      <c r="C57" s="69" t="s">
        <v>19</v>
      </c>
      <c r="D57" s="69" t="s">
        <v>61</v>
      </c>
      <c r="E57" s="162"/>
      <c r="F57" s="162"/>
      <c r="G57" s="109"/>
      <c r="H57" s="109"/>
      <c r="I57" s="109"/>
      <c r="J57" s="109"/>
      <c r="K57" s="109"/>
      <c r="L57" s="109"/>
      <c r="M57" s="109"/>
      <c r="N57" s="109"/>
      <c r="O57" s="109"/>
    </row>
    <row r="58">
      <c r="A58" s="108"/>
      <c r="B58" s="108"/>
      <c r="C58" s="108"/>
      <c r="D58" s="108"/>
      <c r="E58" s="108"/>
      <c r="F58" s="108"/>
      <c r="G58" s="109"/>
      <c r="H58" s="109"/>
      <c r="I58" s="109"/>
      <c r="J58" s="109"/>
      <c r="K58" s="109"/>
      <c r="L58" s="109"/>
      <c r="M58" s="109"/>
      <c r="N58" s="109"/>
      <c r="O58" s="109"/>
    </row>
    <row r="59">
      <c r="A59" s="108"/>
      <c r="B59" s="108"/>
      <c r="C59" s="232"/>
      <c r="D59" s="108"/>
      <c r="E59" s="108"/>
      <c r="F59" s="108"/>
      <c r="G59" s="109"/>
      <c r="H59" s="109"/>
      <c r="I59" s="109"/>
      <c r="J59" s="109"/>
      <c r="K59" s="109"/>
      <c r="L59" s="109"/>
      <c r="M59" s="109"/>
      <c r="N59" s="109"/>
      <c r="O59" s="109"/>
    </row>
    <row r="60">
      <c r="A60" s="108"/>
      <c r="B60" s="233" t="s">
        <v>36</v>
      </c>
      <c r="C60" s="234" t="s">
        <v>103</v>
      </c>
      <c r="D60" s="233" t="s">
        <v>90</v>
      </c>
      <c r="E60" s="235"/>
      <c r="F60" s="109"/>
      <c r="G60" s="112"/>
      <c r="H60" s="112"/>
      <c r="I60" s="112"/>
      <c r="J60" s="112"/>
      <c r="K60" s="112"/>
      <c r="L60" s="112"/>
      <c r="M60" s="112"/>
      <c r="N60" s="112"/>
      <c r="O60" s="112"/>
    </row>
    <row r="61">
      <c r="A61" s="108"/>
      <c r="B61" s="236" t="s">
        <v>75</v>
      </c>
      <c r="C61" s="237" t="s">
        <v>111</v>
      </c>
      <c r="D61" s="236" t="s">
        <v>130</v>
      </c>
      <c r="E61" s="117"/>
      <c r="F61" s="109"/>
      <c r="G61" s="112"/>
      <c r="H61" s="112"/>
      <c r="I61" s="112"/>
      <c r="J61" s="112"/>
      <c r="K61" s="112"/>
      <c r="L61" s="112"/>
      <c r="M61" s="112"/>
      <c r="N61" s="112"/>
      <c r="O61" s="112"/>
    </row>
    <row r="62">
      <c r="A62" s="108"/>
      <c r="B62" s="236" t="s">
        <v>65</v>
      </c>
      <c r="C62" s="238" t="s">
        <v>106</v>
      </c>
      <c r="D62" s="236" t="s">
        <v>130</v>
      </c>
      <c r="E62" s="112"/>
      <c r="F62" s="109"/>
      <c r="G62" s="112"/>
      <c r="H62" s="112"/>
      <c r="I62" s="112"/>
      <c r="J62" s="112"/>
      <c r="K62" s="112"/>
      <c r="L62" s="112"/>
      <c r="M62" s="112"/>
      <c r="N62" s="112"/>
      <c r="O62" s="112"/>
    </row>
    <row r="63">
      <c r="A63" s="108"/>
      <c r="B63" s="236" t="s">
        <v>112</v>
      </c>
      <c r="C63" s="257"/>
      <c r="D63" s="236" t="s">
        <v>130</v>
      </c>
      <c r="E63" s="112"/>
      <c r="F63" s="109"/>
      <c r="G63" s="112"/>
      <c r="H63" s="112"/>
      <c r="I63" s="112"/>
      <c r="J63" s="112"/>
      <c r="K63" s="112"/>
      <c r="L63" s="112"/>
      <c r="M63" s="112"/>
      <c r="N63" s="112"/>
      <c r="O63" s="112"/>
    </row>
    <row r="64">
      <c r="A64" s="108"/>
      <c r="B64" s="236" t="s">
        <v>54</v>
      </c>
      <c r="C64" s="257"/>
      <c r="D64" s="236" t="s">
        <v>130</v>
      </c>
      <c r="E64" s="112"/>
      <c r="F64" s="109"/>
      <c r="G64" s="112"/>
      <c r="H64" s="112"/>
      <c r="I64" s="112"/>
      <c r="J64" s="112"/>
      <c r="K64" s="112"/>
      <c r="L64" s="112"/>
      <c r="M64" s="112"/>
      <c r="N64" s="112"/>
      <c r="O64" s="112"/>
    </row>
    <row r="65">
      <c r="A65" s="108"/>
      <c r="B65" s="236" t="s">
        <v>73</v>
      </c>
      <c r="C65" s="257"/>
      <c r="D65" s="236" t="s">
        <v>130</v>
      </c>
      <c r="E65" s="112"/>
      <c r="F65" s="109"/>
      <c r="G65" s="112"/>
      <c r="H65" s="112"/>
      <c r="I65" s="112"/>
      <c r="J65" s="112"/>
      <c r="K65" s="112"/>
      <c r="L65" s="112"/>
      <c r="M65" s="112"/>
      <c r="N65" s="112"/>
      <c r="O65" s="112"/>
    </row>
    <row r="66">
      <c r="A66" s="108"/>
      <c r="B66" s="236" t="s">
        <v>131</v>
      </c>
      <c r="C66" s="237" t="s">
        <v>105</v>
      </c>
      <c r="E66" s="117"/>
      <c r="F66" s="109"/>
      <c r="G66" s="112"/>
      <c r="H66" s="112"/>
      <c r="I66" s="112"/>
      <c r="J66" s="112"/>
      <c r="K66" s="112"/>
      <c r="L66" s="112"/>
      <c r="M66" s="112"/>
      <c r="N66" s="112"/>
      <c r="O66" s="112"/>
    </row>
    <row r="67">
      <c r="A67" s="108"/>
      <c r="B67" s="236" t="s">
        <v>102</v>
      </c>
      <c r="C67" s="238" t="s">
        <v>109</v>
      </c>
      <c r="D67" s="236" t="s">
        <v>130</v>
      </c>
      <c r="E67" s="112"/>
      <c r="F67" s="109"/>
      <c r="G67" s="112"/>
      <c r="H67" s="112"/>
      <c r="I67" s="112"/>
      <c r="J67" s="112"/>
      <c r="K67" s="112"/>
      <c r="L67" s="112"/>
      <c r="M67" s="112"/>
      <c r="N67" s="112"/>
      <c r="O67" s="112"/>
    </row>
    <row r="68">
      <c r="A68" s="108"/>
      <c r="B68" s="236" t="s">
        <v>116</v>
      </c>
      <c r="C68" s="237" t="s">
        <v>117</v>
      </c>
      <c r="E68" s="117"/>
      <c r="F68" s="109"/>
      <c r="G68" s="112"/>
      <c r="H68" s="112"/>
      <c r="I68" s="112"/>
      <c r="J68" s="112"/>
      <c r="K68" s="112"/>
      <c r="L68" s="112"/>
      <c r="M68" s="112"/>
      <c r="N68" s="112"/>
      <c r="O68" s="112"/>
    </row>
    <row r="69">
      <c r="A69" s="108"/>
      <c r="B69" s="236" t="s">
        <v>132</v>
      </c>
      <c r="C69" s="237" t="s">
        <v>117</v>
      </c>
      <c r="E69" s="117"/>
      <c r="F69" s="109"/>
      <c r="G69" s="112"/>
      <c r="H69" s="112"/>
      <c r="I69" s="112"/>
      <c r="J69" s="112"/>
      <c r="K69" s="112"/>
      <c r="L69" s="112"/>
      <c r="M69" s="112"/>
      <c r="N69" s="112"/>
      <c r="O69" s="112"/>
    </row>
    <row r="70">
      <c r="A70" s="108"/>
      <c r="B70" s="236" t="s">
        <v>133</v>
      </c>
      <c r="C70" s="238" t="s">
        <v>134</v>
      </c>
      <c r="D70" s="239"/>
      <c r="E70" s="240"/>
      <c r="F70" s="109"/>
      <c r="G70" s="112"/>
      <c r="H70" s="112"/>
      <c r="I70" s="112"/>
      <c r="J70" s="112"/>
      <c r="K70" s="112"/>
      <c r="L70" s="112"/>
      <c r="M70" s="112"/>
      <c r="N70" s="112"/>
      <c r="O70" s="112"/>
    </row>
    <row r="71">
      <c r="A71" s="108"/>
      <c r="B71" s="236" t="s">
        <v>135</v>
      </c>
      <c r="C71" s="238" t="s">
        <v>136</v>
      </c>
      <c r="E71" s="112"/>
      <c r="F71" s="109"/>
      <c r="G71" s="112"/>
      <c r="H71" s="112"/>
      <c r="I71" s="112"/>
      <c r="J71" s="112"/>
      <c r="K71" s="112"/>
      <c r="L71" s="112"/>
      <c r="M71" s="112"/>
      <c r="N71" s="112"/>
      <c r="O71" s="112"/>
    </row>
    <row r="72">
      <c r="A72" s="108"/>
      <c r="B72" s="236" t="s">
        <v>137</v>
      </c>
      <c r="C72" s="237" t="s">
        <v>138</v>
      </c>
      <c r="E72" s="112"/>
      <c r="F72" s="109"/>
      <c r="G72" s="112"/>
      <c r="H72" s="112"/>
      <c r="I72" s="112"/>
      <c r="J72" s="112"/>
      <c r="K72" s="112"/>
      <c r="L72" s="112"/>
      <c r="M72" s="112"/>
      <c r="N72" s="112"/>
      <c r="O72" s="112"/>
    </row>
    <row r="73">
      <c r="A73" s="108"/>
      <c r="B73" s="236" t="s">
        <v>107</v>
      </c>
      <c r="C73" s="237" t="s">
        <v>108</v>
      </c>
      <c r="E73" s="112"/>
      <c r="F73" s="109"/>
      <c r="G73" s="112"/>
      <c r="H73" s="112"/>
      <c r="I73" s="112"/>
      <c r="J73" s="112"/>
      <c r="K73" s="112"/>
      <c r="L73" s="112"/>
      <c r="M73" s="112"/>
      <c r="N73" s="112"/>
      <c r="O73" s="112"/>
    </row>
    <row r="74">
      <c r="A74" s="108"/>
      <c r="B74" s="108"/>
      <c r="C74" s="112"/>
      <c r="D74" s="241"/>
      <c r="E74" s="112"/>
      <c r="F74" s="112"/>
      <c r="G74" s="109"/>
      <c r="H74" s="109"/>
      <c r="I74" s="109"/>
      <c r="J74" s="109"/>
      <c r="K74" s="109"/>
      <c r="L74" s="109"/>
      <c r="M74" s="109"/>
      <c r="N74" s="109"/>
      <c r="O74" s="109"/>
    </row>
    <row r="75">
      <c r="A75" s="108"/>
      <c r="B75" s="108"/>
      <c r="C75" s="112"/>
      <c r="D75" s="241"/>
      <c r="E75" s="112"/>
      <c r="F75" s="112"/>
      <c r="G75" s="109"/>
      <c r="H75" s="109"/>
      <c r="I75" s="109"/>
      <c r="J75" s="109"/>
      <c r="K75" s="109"/>
      <c r="L75" s="109"/>
      <c r="M75" s="109"/>
      <c r="N75" s="109"/>
      <c r="O75" s="109"/>
    </row>
  </sheetData>
  <autoFilter ref="$B$46:$D$57">
    <sortState ref="B46:D57">
      <sortCondition ref="D46:D57"/>
      <sortCondition ref="B46:B57"/>
      <sortCondition descending="1" ref="C46:C57"/>
    </sortState>
  </autoFilter>
  <mergeCells count="20">
    <mergeCell ref="B2:F2"/>
    <mergeCell ref="H2:N2"/>
    <mergeCell ref="B5:F5"/>
    <mergeCell ref="C6:C7"/>
    <mergeCell ref="E6:E7"/>
    <mergeCell ref="B9:F9"/>
    <mergeCell ref="C10:C11"/>
    <mergeCell ref="B39:C39"/>
    <mergeCell ref="B40:C40"/>
    <mergeCell ref="C43:C44"/>
    <mergeCell ref="E40:F40"/>
    <mergeCell ref="B42:F42"/>
    <mergeCell ref="E43:E44"/>
    <mergeCell ref="E10:E11"/>
    <mergeCell ref="B13:F13"/>
    <mergeCell ref="C14:C15"/>
    <mergeCell ref="E14:E15"/>
    <mergeCell ref="B33:F33"/>
    <mergeCell ref="B38:F38"/>
    <mergeCell ref="E39:F39"/>
  </mergeCells>
  <dataValidations>
    <dataValidation type="list" allowBlank="1" showErrorMessage="1" sqref="D47:D57">
      <formula1>"Yes,No,Confirmed,unk"</formula1>
    </dataValidation>
  </dataValidations>
  <hyperlinks>
    <hyperlink r:id="rId1" ref="C46"/>
    <hyperlink r:id="rId2" ref="C61"/>
    <hyperlink r:id="rId3" ref="C62"/>
    <hyperlink r:id="rId4" ref="C66"/>
    <hyperlink r:id="rId5" ref="C67"/>
    <hyperlink r:id="rId6" ref="C68"/>
    <hyperlink r:id="rId7" ref="C69"/>
    <hyperlink r:id="rId8" ref="C70"/>
    <hyperlink r:id="rId9" ref="C71"/>
    <hyperlink r:id="rId10" location="/search" ref="C72"/>
    <hyperlink r:id="rId11" ref="C73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236" t="s">
        <v>36</v>
      </c>
      <c r="B1" s="236" t="s">
        <v>5</v>
      </c>
      <c r="D1" s="236" t="s">
        <v>36</v>
      </c>
      <c r="E1" s="236" t="s">
        <v>5</v>
      </c>
    </row>
    <row r="2">
      <c r="A2" s="236" t="s">
        <v>131</v>
      </c>
      <c r="B2" s="236">
        <v>25.5</v>
      </c>
      <c r="D2" s="236" t="s">
        <v>139</v>
      </c>
      <c r="E2" s="236">
        <v>21.0</v>
      </c>
    </row>
    <row r="3">
      <c r="A3" s="236" t="s">
        <v>65</v>
      </c>
      <c r="B3" s="236">
        <v>24.75</v>
      </c>
      <c r="D3" s="236" t="s">
        <v>140</v>
      </c>
      <c r="E3" s="236">
        <v>19.5</v>
      </c>
    </row>
    <row r="4">
      <c r="A4" s="236" t="s">
        <v>102</v>
      </c>
      <c r="B4" s="236">
        <v>23.25</v>
      </c>
      <c r="D4" s="236" t="s">
        <v>141</v>
      </c>
      <c r="E4" s="236">
        <v>19.5</v>
      </c>
    </row>
    <row r="5">
      <c r="A5" s="236" t="s">
        <v>73</v>
      </c>
      <c r="B5" s="236">
        <v>22.25</v>
      </c>
      <c r="D5" s="236" t="s">
        <v>142</v>
      </c>
      <c r="E5" s="236">
        <v>19.5</v>
      </c>
    </row>
    <row r="6">
      <c r="A6" s="236" t="s">
        <v>75</v>
      </c>
      <c r="B6" s="236">
        <v>20.25</v>
      </c>
      <c r="D6" s="258" t="s">
        <v>143</v>
      </c>
      <c r="E6" s="258">
        <v>18.0</v>
      </c>
    </row>
    <row r="7">
      <c r="A7" s="236" t="s">
        <v>112</v>
      </c>
      <c r="B7" s="236">
        <v>18.75</v>
      </c>
      <c r="D7" s="236" t="s">
        <v>144</v>
      </c>
      <c r="E7" s="236">
        <v>18.0</v>
      </c>
    </row>
    <row r="8">
      <c r="A8" s="236" t="s">
        <v>145</v>
      </c>
      <c r="B8" s="236">
        <v>18.5</v>
      </c>
      <c r="D8" s="236" t="s">
        <v>146</v>
      </c>
      <c r="E8" s="236">
        <v>15.5</v>
      </c>
    </row>
    <row r="9">
      <c r="A9" s="236" t="s">
        <v>54</v>
      </c>
      <c r="B9" s="236">
        <v>17.0</v>
      </c>
      <c r="D9" s="236" t="s">
        <v>147</v>
      </c>
      <c r="E9" s="236">
        <v>14.0</v>
      </c>
    </row>
    <row r="10">
      <c r="A10" s="236" t="s">
        <v>116</v>
      </c>
      <c r="B10" s="236">
        <v>15.0</v>
      </c>
      <c r="D10" s="236" t="s">
        <v>148</v>
      </c>
      <c r="E10" s="236">
        <v>14.0</v>
      </c>
    </row>
    <row r="11">
      <c r="A11" s="236" t="s">
        <v>118</v>
      </c>
      <c r="B11" s="236">
        <v>13.25</v>
      </c>
      <c r="D11" s="236" t="s">
        <v>149</v>
      </c>
      <c r="E11" s="236">
        <v>12.5</v>
      </c>
    </row>
    <row r="12">
      <c r="A12" s="236" t="s">
        <v>120</v>
      </c>
      <c r="B12" s="236">
        <v>11.0</v>
      </c>
      <c r="D12" s="236" t="s">
        <v>150</v>
      </c>
      <c r="E12" s="236">
        <v>11.5</v>
      </c>
    </row>
    <row r="13">
      <c r="A13" s="236" t="s">
        <v>135</v>
      </c>
      <c r="B13" s="236">
        <v>9.25</v>
      </c>
      <c r="D13" s="236" t="s">
        <v>151</v>
      </c>
      <c r="E13" s="236">
        <v>9.0</v>
      </c>
    </row>
    <row r="14">
      <c r="A14" s="236" t="s">
        <v>152</v>
      </c>
      <c r="B14" s="236">
        <v>8.75</v>
      </c>
    </row>
    <row r="15">
      <c r="A15" s="236" t="s">
        <v>153</v>
      </c>
      <c r="B15" s="236">
        <v>0.0</v>
      </c>
    </row>
    <row r="17">
      <c r="A17" s="108"/>
      <c r="B17" s="108"/>
      <c r="C17" s="232"/>
      <c r="D17" s="108"/>
      <c r="E17" s="108"/>
    </row>
    <row r="18">
      <c r="A18" s="108"/>
      <c r="B18" s="233" t="s">
        <v>36</v>
      </c>
      <c r="C18" s="234" t="s">
        <v>103</v>
      </c>
      <c r="D18" s="233" t="s">
        <v>90</v>
      </c>
      <c r="E18" s="235" t="s">
        <v>154</v>
      </c>
    </row>
    <row r="19">
      <c r="A19" s="108"/>
      <c r="B19" s="236" t="s">
        <v>104</v>
      </c>
      <c r="C19" s="237" t="s">
        <v>105</v>
      </c>
      <c r="D19" s="236">
        <v>25.5</v>
      </c>
      <c r="E19" s="112"/>
    </row>
    <row r="20">
      <c r="A20" s="108"/>
      <c r="B20" s="236" t="s">
        <v>65</v>
      </c>
      <c r="C20" s="238" t="s">
        <v>106</v>
      </c>
      <c r="D20" s="236">
        <v>24.75</v>
      </c>
      <c r="E20" s="112"/>
    </row>
    <row r="21">
      <c r="A21" s="108"/>
      <c r="B21" s="236" t="s">
        <v>107</v>
      </c>
      <c r="C21" s="237" t="s">
        <v>108</v>
      </c>
      <c r="D21" s="236">
        <v>24.75</v>
      </c>
      <c r="E21" s="117"/>
    </row>
    <row r="22">
      <c r="A22" s="108"/>
      <c r="B22" s="236" t="s">
        <v>102</v>
      </c>
      <c r="C22" s="238" t="s">
        <v>109</v>
      </c>
      <c r="D22" s="236">
        <v>23.25</v>
      </c>
      <c r="E22" s="117"/>
    </row>
    <row r="23">
      <c r="A23" s="108"/>
      <c r="B23" s="236" t="s">
        <v>110</v>
      </c>
      <c r="C23" s="238" t="s">
        <v>105</v>
      </c>
      <c r="D23" s="236">
        <v>22.25</v>
      </c>
      <c r="E23" s="112"/>
    </row>
    <row r="24">
      <c r="A24" s="108"/>
      <c r="B24" s="236" t="s">
        <v>75</v>
      </c>
      <c r="C24" s="237" t="s">
        <v>111</v>
      </c>
      <c r="D24" s="236">
        <v>20.25</v>
      </c>
      <c r="E24" s="117" t="s">
        <v>128</v>
      </c>
    </row>
    <row r="25">
      <c r="A25" s="108"/>
      <c r="B25" s="236" t="s">
        <v>112</v>
      </c>
      <c r="C25" s="238" t="s">
        <v>113</v>
      </c>
      <c r="D25" s="236">
        <v>18.75</v>
      </c>
      <c r="E25" s="112"/>
    </row>
    <row r="26">
      <c r="A26" s="108"/>
      <c r="B26" s="236" t="s">
        <v>114</v>
      </c>
      <c r="C26" s="238" t="s">
        <v>105</v>
      </c>
      <c r="D26" s="239">
        <v>18.5</v>
      </c>
      <c r="E26" s="112"/>
    </row>
    <row r="27">
      <c r="A27" s="108"/>
      <c r="B27" s="236" t="s">
        <v>54</v>
      </c>
      <c r="C27" s="237" t="s">
        <v>115</v>
      </c>
      <c r="D27" s="236">
        <v>17.0</v>
      </c>
      <c r="E27" s="112"/>
    </row>
    <row r="28">
      <c r="A28" s="108"/>
      <c r="B28" s="236" t="s">
        <v>116</v>
      </c>
      <c r="C28" s="238" t="s">
        <v>117</v>
      </c>
      <c r="D28" s="236">
        <v>15.0</v>
      </c>
      <c r="E28" s="240"/>
    </row>
    <row r="29">
      <c r="A29" s="108"/>
      <c r="B29" s="236" t="s">
        <v>118</v>
      </c>
      <c r="C29" s="238" t="s">
        <v>119</v>
      </c>
      <c r="D29" s="236">
        <v>13.25</v>
      </c>
      <c r="E29" s="117" t="s">
        <v>155</v>
      </c>
    </row>
    <row r="30">
      <c r="A30" s="108"/>
      <c r="B30" s="236" t="s">
        <v>120</v>
      </c>
      <c r="C30" s="237" t="s">
        <v>121</v>
      </c>
      <c r="D30" s="236">
        <v>11.0</v>
      </c>
      <c r="E30" s="117" t="s">
        <v>123</v>
      </c>
    </row>
    <row r="31">
      <c r="A31" s="108"/>
      <c r="B31" s="108"/>
      <c r="C31" s="112"/>
      <c r="D31" s="241"/>
      <c r="E31" s="112"/>
    </row>
  </sheetData>
  <autoFilter ref="$B$18:$E$30">
    <sortState ref="B18:E30">
      <sortCondition descending="1" ref="D18:D30"/>
    </sortState>
  </autoFilter>
  <hyperlinks>
    <hyperlink r:id="rId1" ref="C19"/>
    <hyperlink r:id="rId2" ref="C20"/>
    <hyperlink r:id="rId3" ref="C21"/>
    <hyperlink r:id="rId4" ref="C22"/>
    <hyperlink r:id="rId5" ref="C23"/>
    <hyperlink r:id="rId6" ref="C24"/>
    <hyperlink r:id="rId7" ref="C25"/>
    <hyperlink r:id="rId8" ref="C26"/>
    <hyperlink r:id="rId9" ref="C27"/>
    <hyperlink r:id="rId10" ref="C28"/>
    <hyperlink r:id="rId11" ref="C29"/>
    <hyperlink r:id="rId12" ref="C30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2" width="4.75"/>
    <col customWidth="1" min="3" max="3" width="8.38"/>
    <col customWidth="1" min="4" max="4" width="8.63"/>
    <col customWidth="1" min="5" max="5" width="6.75"/>
    <col customWidth="1" min="6" max="6" width="2.13"/>
    <col customWidth="1" min="7" max="7" width="6.75"/>
    <col customWidth="1" min="8" max="8" width="5.88"/>
    <col customWidth="1" min="9" max="9" width="6.38"/>
    <col customWidth="1" min="10" max="10" width="6.88"/>
    <col customWidth="1" min="11" max="11" width="1.63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59" t="s">
        <v>156</v>
      </c>
      <c r="C2" s="7"/>
      <c r="D2" s="7"/>
      <c r="E2" s="8"/>
      <c r="F2" s="1"/>
      <c r="G2" s="259" t="s">
        <v>157</v>
      </c>
      <c r="H2" s="7"/>
      <c r="I2" s="7"/>
      <c r="J2" s="8"/>
      <c r="K2" s="1"/>
    </row>
    <row r="3" ht="45.0" customHeight="1">
      <c r="A3" s="9"/>
      <c r="B3" s="260" t="s">
        <v>3</v>
      </c>
      <c r="C3" s="261" t="s">
        <v>4</v>
      </c>
      <c r="D3" s="261" t="s">
        <v>5</v>
      </c>
      <c r="E3" s="262" t="s">
        <v>6</v>
      </c>
      <c r="F3" s="9"/>
      <c r="G3" s="260" t="s">
        <v>4</v>
      </c>
      <c r="H3" s="261" t="s">
        <v>8</v>
      </c>
      <c r="I3" s="261" t="s">
        <v>158</v>
      </c>
      <c r="J3" s="262" t="s">
        <v>15</v>
      </c>
      <c r="K3" s="9"/>
    </row>
    <row r="4">
      <c r="A4" s="20"/>
      <c r="B4" s="78">
        <v>1.0</v>
      </c>
      <c r="C4" s="242" t="s">
        <v>18</v>
      </c>
      <c r="D4" s="263">
        <f>SUMIF('Example Weekly Point Data'!$D:$D, C4, 'Example Weekly Point Data'!$Q:$Q)</f>
        <v>39</v>
      </c>
      <c r="E4" s="71">
        <v>0.0</v>
      </c>
      <c r="F4" s="26"/>
      <c r="G4" s="264" t="str">
        <f t="shared" ref="G4:G15" si="1">C4</f>
        <v>Joey</v>
      </c>
      <c r="H4" s="69">
        <f>COUNTIFS('Example Weekly Point Data'!G:G,"Won",'Example Weekly Point Data'!D:D,G4)</f>
        <v>1</v>
      </c>
      <c r="I4" s="69">
        <f>COUNTIFS('Example Weekly Point Data'!F:F,"No",'Example Weekly Point Data'!D:D,G4)</f>
        <v>0</v>
      </c>
      <c r="J4" s="71">
        <f>MINIFS('Example Weekly Point Data'!I:I,'Example Weekly Point Data'!D:D,G4)</f>
        <v>43</v>
      </c>
      <c r="K4" s="20"/>
    </row>
    <row r="5">
      <c r="A5" s="20"/>
      <c r="B5" s="78">
        <v>2.0</v>
      </c>
      <c r="C5" s="242" t="s">
        <v>159</v>
      </c>
      <c r="D5" s="263">
        <f>SUMIF('Example Weekly Point Data'!$D:$D, C5, 'Example Weekly Point Data'!$Q:$Q)</f>
        <v>37</v>
      </c>
      <c r="E5" s="265">
        <f t="shared" ref="E5:E15" si="2">D5-$D$4</f>
        <v>-2</v>
      </c>
      <c r="F5" s="39"/>
      <c r="G5" s="264" t="str">
        <f t="shared" si="1"/>
        <v>Cal</v>
      </c>
      <c r="H5" s="69">
        <f>COUNTIFS('Example Weekly Point Data'!G:G,"Won",'Example Weekly Point Data'!D:D,G5)</f>
        <v>1</v>
      </c>
      <c r="I5" s="69">
        <f>COUNTIFS('Example Weekly Point Data'!F:F,"No",'Example Weekly Point Data'!D:D,G5)</f>
        <v>0</v>
      </c>
      <c r="J5" s="71">
        <f>MINIFS('Example Weekly Point Data'!I:I,'Example Weekly Point Data'!D:D,G5)</f>
        <v>47</v>
      </c>
      <c r="K5" s="20"/>
    </row>
    <row r="6">
      <c r="A6" s="20"/>
      <c r="B6" s="78">
        <v>3.0</v>
      </c>
      <c r="C6" s="242" t="s">
        <v>29</v>
      </c>
      <c r="D6" s="263">
        <f>SUMIF('Example Weekly Point Data'!$D:$D, C6, 'Example Weekly Point Data'!$Q:$Q)</f>
        <v>34</v>
      </c>
      <c r="E6" s="265">
        <f t="shared" si="2"/>
        <v>-5</v>
      </c>
      <c r="F6" s="39"/>
      <c r="G6" s="264" t="str">
        <f t="shared" si="1"/>
        <v>Brandt</v>
      </c>
      <c r="H6" s="69">
        <f>COUNTIFS('Example Weekly Point Data'!G:G,"Won",'Example Weekly Point Data'!D:D,G6)</f>
        <v>0</v>
      </c>
      <c r="I6" s="69">
        <f>COUNTIFS('Example Weekly Point Data'!F:F,"No",'Example Weekly Point Data'!D:D,G6)</f>
        <v>0</v>
      </c>
      <c r="J6" s="71">
        <f>MINIFS('Example Weekly Point Data'!I:I,'Example Weekly Point Data'!D:D,G6)</f>
        <v>43</v>
      </c>
      <c r="K6" s="20"/>
    </row>
    <row r="7">
      <c r="A7" s="20"/>
      <c r="B7" s="78">
        <v>4.0</v>
      </c>
      <c r="C7" s="242" t="s">
        <v>24</v>
      </c>
      <c r="D7" s="263">
        <f>SUMIF('Example Weekly Point Data'!$D:$D, C7, 'Example Weekly Point Data'!$Q:$Q)</f>
        <v>28</v>
      </c>
      <c r="E7" s="265">
        <f t="shared" si="2"/>
        <v>-11</v>
      </c>
      <c r="F7" s="39"/>
      <c r="G7" s="264" t="str">
        <f t="shared" si="1"/>
        <v>GT</v>
      </c>
      <c r="H7" s="69">
        <f>COUNTIFS('Example Weekly Point Data'!G:G,"Won",'Example Weekly Point Data'!D:D,G7)</f>
        <v>0</v>
      </c>
      <c r="I7" s="69">
        <f>COUNTIFS('Example Weekly Point Data'!F:F,"No",'Example Weekly Point Data'!D:D,G7)</f>
        <v>0</v>
      </c>
      <c r="J7" s="71">
        <f>MINIFS('Example Weekly Point Data'!I:I,'Example Weekly Point Data'!D:D,G7)</f>
        <v>46</v>
      </c>
      <c r="K7" s="20"/>
    </row>
    <row r="8">
      <c r="A8" s="20"/>
      <c r="B8" s="78">
        <v>5.0</v>
      </c>
      <c r="C8" s="242" t="s">
        <v>20</v>
      </c>
      <c r="D8" s="263">
        <f>SUMIF('Example Weekly Point Data'!$D:$D, C8, 'Example Weekly Point Data'!$Q:$Q)</f>
        <v>23</v>
      </c>
      <c r="E8" s="265">
        <f t="shared" si="2"/>
        <v>-16</v>
      </c>
      <c r="F8" s="39"/>
      <c r="G8" s="264" t="str">
        <f t="shared" si="1"/>
        <v>Bryan</v>
      </c>
      <c r="H8" s="69">
        <f>COUNTIFS('Example Weekly Point Data'!G:G,"Won",'Example Weekly Point Data'!D:D,G8)</f>
        <v>1</v>
      </c>
      <c r="I8" s="69">
        <f>COUNTIFS('Example Weekly Point Data'!F:F,"No",'Example Weekly Point Data'!D:D,G8)</f>
        <v>0</v>
      </c>
      <c r="J8" s="71">
        <f>MINIFS('Example Weekly Point Data'!I:I,'Example Weekly Point Data'!D:D,G8)</f>
        <v>49</v>
      </c>
      <c r="K8" s="20"/>
    </row>
    <row r="9">
      <c r="A9" s="20"/>
      <c r="B9" s="78">
        <v>6.0</v>
      </c>
      <c r="C9" s="242" t="s">
        <v>22</v>
      </c>
      <c r="D9" s="263">
        <f>SUMIF('Example Weekly Point Data'!$D:$D, C9, 'Example Weekly Point Data'!$Q:$Q)</f>
        <v>22</v>
      </c>
      <c r="E9" s="265">
        <f t="shared" si="2"/>
        <v>-17</v>
      </c>
      <c r="F9" s="39"/>
      <c r="G9" s="264" t="str">
        <f t="shared" si="1"/>
        <v>Zach</v>
      </c>
      <c r="H9" s="69">
        <f>COUNTIFS('Example Weekly Point Data'!G:G,"Won",'Example Weekly Point Data'!D:D,G9)</f>
        <v>0</v>
      </c>
      <c r="I9" s="69">
        <f>COUNTIFS('Example Weekly Point Data'!F:F,"No",'Example Weekly Point Data'!D:D,G9)</f>
        <v>0</v>
      </c>
      <c r="J9" s="71">
        <f>MINIFS('Example Weekly Point Data'!I:I,'Example Weekly Point Data'!D:D,G9)</f>
        <v>48</v>
      </c>
      <c r="K9" s="20"/>
    </row>
    <row r="10">
      <c r="A10" s="20"/>
      <c r="B10" s="78">
        <v>7.0</v>
      </c>
      <c r="C10" s="242" t="s">
        <v>25</v>
      </c>
      <c r="D10" s="263">
        <f>SUMIF('Example Weekly Point Data'!$D:$D, C10, 'Example Weekly Point Data'!$Q:$Q)</f>
        <v>21</v>
      </c>
      <c r="E10" s="265">
        <f t="shared" si="2"/>
        <v>-18</v>
      </c>
      <c r="F10" s="39"/>
      <c r="G10" s="264" t="str">
        <f t="shared" si="1"/>
        <v>Joe</v>
      </c>
      <c r="H10" s="69">
        <f>COUNTIFS('Example Weekly Point Data'!G:G,"Won",'Example Weekly Point Data'!D:D,G10)</f>
        <v>1</v>
      </c>
      <c r="I10" s="69">
        <f>COUNTIFS('Example Weekly Point Data'!F:F,"No",'Example Weekly Point Data'!D:D,G10)</f>
        <v>0</v>
      </c>
      <c r="J10" s="71">
        <f>MINIFS('Example Weekly Point Data'!I:I,'Example Weekly Point Data'!D:D,G10)</f>
        <v>48</v>
      </c>
      <c r="K10" s="20"/>
    </row>
    <row r="11">
      <c r="A11" s="20"/>
      <c r="B11" s="78">
        <v>9.0</v>
      </c>
      <c r="C11" s="242" t="s">
        <v>28</v>
      </c>
      <c r="D11" s="263">
        <f>SUMIF('Example Weekly Point Data'!$D:$D, C11, 'Example Weekly Point Data'!$Q:$Q)</f>
        <v>15</v>
      </c>
      <c r="E11" s="265">
        <f t="shared" si="2"/>
        <v>-24</v>
      </c>
      <c r="F11" s="39"/>
      <c r="G11" s="264" t="str">
        <f t="shared" si="1"/>
        <v>Jared</v>
      </c>
      <c r="H11" s="69">
        <f>COUNTIFS('Example Weekly Point Data'!G:G,"Won",'Example Weekly Point Data'!D:D,G11)</f>
        <v>1</v>
      </c>
      <c r="I11" s="69">
        <f>COUNTIFS('Example Weekly Point Data'!F:F,"No",'Example Weekly Point Data'!D:D,G11)</f>
        <v>1</v>
      </c>
      <c r="J11" s="71">
        <f>MINIFS('Example Weekly Point Data'!I:I,'Example Weekly Point Data'!D:D,G11)</f>
        <v>52</v>
      </c>
      <c r="K11" s="20"/>
    </row>
    <row r="12">
      <c r="A12" s="20"/>
      <c r="B12" s="78">
        <v>9.0</v>
      </c>
      <c r="C12" s="242" t="s">
        <v>21</v>
      </c>
      <c r="D12" s="263">
        <f>SUMIF('Example Weekly Point Data'!$D:$D, C12, 'Example Weekly Point Data'!$Q:$Q)</f>
        <v>14</v>
      </c>
      <c r="E12" s="265">
        <f t="shared" si="2"/>
        <v>-25</v>
      </c>
      <c r="F12" s="39"/>
      <c r="G12" s="264" t="str">
        <f t="shared" si="1"/>
        <v>Bird</v>
      </c>
      <c r="H12" s="69">
        <f>COUNTIFS('Example Weekly Point Data'!G:G,"Won",'Example Weekly Point Data'!D:D,G12)</f>
        <v>0</v>
      </c>
      <c r="I12" s="69">
        <f>COUNTIFS('Example Weekly Point Data'!F:F,"No",'Example Weekly Point Data'!D:D,G12)</f>
        <v>0</v>
      </c>
      <c r="J12" s="71">
        <f>MINIFS('Example Weekly Point Data'!I:I,'Example Weekly Point Data'!D:D,G12)</f>
        <v>50</v>
      </c>
      <c r="K12" s="20"/>
    </row>
    <row r="13">
      <c r="A13" s="20"/>
      <c r="B13" s="78">
        <v>10.0</v>
      </c>
      <c r="C13" s="242" t="s">
        <v>26</v>
      </c>
      <c r="D13" s="263">
        <f>SUMIF('Example Weekly Point Data'!$D:$D, C13, 'Example Weekly Point Data'!$Q:$Q)</f>
        <v>0</v>
      </c>
      <c r="E13" s="265">
        <f t="shared" si="2"/>
        <v>-39</v>
      </c>
      <c r="F13" s="39"/>
      <c r="G13" s="264" t="str">
        <f t="shared" si="1"/>
        <v>Hunter</v>
      </c>
      <c r="H13" s="69">
        <f>COUNTIFS('Example Weekly Point Data'!G:G,"Won",'Example Weekly Point Data'!D:D,G13)</f>
        <v>0</v>
      </c>
      <c r="I13" s="69">
        <f>COUNTIFS('Example Weekly Point Data'!F:F,"No",'Example Weekly Point Data'!D:D,G13)</f>
        <v>0</v>
      </c>
      <c r="J13" s="71">
        <f>MINIFS('Example Weekly Point Data'!I:I,'Example Weekly Point Data'!D:D,G13)</f>
        <v>0</v>
      </c>
      <c r="K13" s="20"/>
    </row>
    <row r="14">
      <c r="A14" s="20"/>
      <c r="B14" s="78">
        <v>11.0</v>
      </c>
      <c r="C14" s="242" t="s">
        <v>23</v>
      </c>
      <c r="D14" s="263">
        <f>SUMIF('Example Weekly Point Data'!$D:$D, C14, 'Example Weekly Point Data'!$Q:$Q)</f>
        <v>0</v>
      </c>
      <c r="E14" s="265">
        <f t="shared" si="2"/>
        <v>-39</v>
      </c>
      <c r="F14" s="39"/>
      <c r="G14" s="264" t="str">
        <f t="shared" si="1"/>
        <v>Stefan</v>
      </c>
      <c r="H14" s="69">
        <f>COUNTIFS('Example Weekly Point Data'!G:G,"Won",'Example Weekly Point Data'!D:D,G14)</f>
        <v>0</v>
      </c>
      <c r="I14" s="69">
        <f>COUNTIFS('Example Weekly Point Data'!F:F,"No",'Example Weekly Point Data'!D:D,G14)</f>
        <v>0</v>
      </c>
      <c r="J14" s="71">
        <f>MINIFS('Example Weekly Point Data'!I:I,'Example Weekly Point Data'!D:D,G14)</f>
        <v>0</v>
      </c>
      <c r="K14" s="20"/>
    </row>
    <row r="15">
      <c r="A15" s="20"/>
      <c r="B15" s="95">
        <v>12.0</v>
      </c>
      <c r="C15" s="243"/>
      <c r="D15" s="266">
        <f>SUMIF('Example Weekly Point Data'!$D:$D, C15, 'Example Weekly Point Data'!$Q:$Q)</f>
        <v>0</v>
      </c>
      <c r="E15" s="267">
        <f t="shared" si="2"/>
        <v>-39</v>
      </c>
      <c r="F15" s="39"/>
      <c r="G15" s="268" t="str">
        <f t="shared" si="1"/>
        <v/>
      </c>
      <c r="H15" s="243"/>
      <c r="I15" s="243"/>
      <c r="J15" s="269"/>
      <c r="K15" s="20"/>
    </row>
    <row r="16" ht="5.25" customHeight="1">
      <c r="A16" s="20"/>
      <c r="B16" s="26"/>
      <c r="C16" s="20"/>
      <c r="D16" s="39"/>
      <c r="E16" s="39"/>
      <c r="F16" s="39"/>
      <c r="G16" s="20"/>
      <c r="H16" s="20"/>
      <c r="I16" s="20"/>
      <c r="J16" s="20"/>
      <c r="K16" s="20"/>
    </row>
  </sheetData>
  <autoFilter ref="$C$3:$D$15">
    <sortState ref="C3:D15">
      <sortCondition descending="1" ref="D3:D15"/>
      <sortCondition ref="C3:C15"/>
    </sortState>
  </autoFilter>
  <mergeCells count="2">
    <mergeCell ref="B2:E2"/>
    <mergeCell ref="G2:J2"/>
  </mergeCells>
  <conditionalFormatting sqref="E5:F16">
    <cfRule type="colorScale" priority="1">
      <colorScale>
        <cfvo type="min"/>
        <cfvo type="percentile" val="50"/>
        <cfvo type="max"/>
        <color rgb="FFE6B8AF"/>
        <color rgb="FFFCE5CD"/>
        <color rgb="FFFFF2CC"/>
      </colorScale>
    </cfRule>
  </conditionalFormatting>
  <conditionalFormatting sqref="D4:D16">
    <cfRule type="colorScale" priority="2">
      <colorScale>
        <cfvo type="min"/>
        <cfvo type="max"/>
        <color rgb="FFFFFFFF"/>
        <color rgb="FF93C47D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7.88"/>
    <col customWidth="1" min="2" max="2" width="7.13"/>
    <col customWidth="1" min="3" max="3" width="9.25"/>
    <col customWidth="1" min="4" max="4" width="8.5"/>
    <col customWidth="1" min="5" max="5" width="9.38"/>
    <col customWidth="1" min="6" max="6" width="9.88"/>
    <col customWidth="1" min="7" max="7" width="8.63"/>
    <col customWidth="1" min="8" max="8" width="8.13"/>
    <col customWidth="1" min="9" max="9" width="8.38"/>
    <col customWidth="1" min="10" max="10" width="8.13"/>
    <col customWidth="1" min="11" max="11" width="7.63"/>
    <col customWidth="1" min="12" max="12" width="11.25"/>
    <col customWidth="1" min="13" max="16" width="8.63"/>
    <col customWidth="1" min="17" max="17" width="8.88"/>
    <col customWidth="1" min="18" max="18" width="3.25"/>
  </cols>
  <sheetData>
    <row r="1">
      <c r="A1" s="54" t="s">
        <v>30</v>
      </c>
      <c r="B1" s="7"/>
      <c r="C1" s="7"/>
      <c r="D1" s="8"/>
      <c r="E1" s="54" t="s">
        <v>31</v>
      </c>
      <c r="F1" s="7"/>
      <c r="G1" s="7"/>
      <c r="H1" s="7"/>
      <c r="I1" s="7"/>
      <c r="J1" s="7"/>
      <c r="K1" s="8"/>
      <c r="L1" s="54" t="s">
        <v>32</v>
      </c>
      <c r="M1" s="7"/>
      <c r="N1" s="7"/>
      <c r="O1" s="7"/>
      <c r="P1" s="8"/>
      <c r="Q1" s="270" t="s">
        <v>33</v>
      </c>
      <c r="R1" s="271"/>
    </row>
    <row r="2">
      <c r="A2" s="272" t="s">
        <v>34</v>
      </c>
      <c r="B2" s="273" t="s">
        <v>35</v>
      </c>
      <c r="C2" s="274" t="s">
        <v>36</v>
      </c>
      <c r="D2" s="275" t="s">
        <v>4</v>
      </c>
      <c r="E2" s="272" t="s">
        <v>40</v>
      </c>
      <c r="F2" s="274" t="s">
        <v>38</v>
      </c>
      <c r="G2" s="274" t="s">
        <v>44</v>
      </c>
      <c r="H2" s="274" t="s">
        <v>160</v>
      </c>
      <c r="I2" s="274" t="s">
        <v>45</v>
      </c>
      <c r="J2" s="274" t="s">
        <v>47</v>
      </c>
      <c r="K2" s="275" t="s">
        <v>46</v>
      </c>
      <c r="L2" s="274" t="s">
        <v>48</v>
      </c>
      <c r="M2" s="274" t="s">
        <v>49</v>
      </c>
      <c r="N2" s="274" t="s">
        <v>50</v>
      </c>
      <c r="O2" s="274" t="s">
        <v>51</v>
      </c>
      <c r="P2" s="274" t="s">
        <v>52</v>
      </c>
      <c r="Q2" s="276" t="s">
        <v>5</v>
      </c>
      <c r="R2" s="277"/>
    </row>
    <row r="3">
      <c r="A3" s="68" t="s">
        <v>161</v>
      </c>
      <c r="B3" s="89">
        <v>46096.0</v>
      </c>
      <c r="C3" s="68" t="s">
        <v>131</v>
      </c>
      <c r="D3" s="278" t="s">
        <v>21</v>
      </c>
      <c r="E3" s="78" t="s">
        <v>29</v>
      </c>
      <c r="F3" s="69" t="s">
        <v>123</v>
      </c>
      <c r="G3" s="69" t="s">
        <v>60</v>
      </c>
      <c r="H3" s="69">
        <v>17.9</v>
      </c>
      <c r="I3" s="69">
        <v>50.0</v>
      </c>
      <c r="J3" s="69">
        <f t="shared" ref="J3:J16" si="1">I3-ROUNDUP(H3/2,0)</f>
        <v>41</v>
      </c>
      <c r="K3" s="71">
        <v>19.0</v>
      </c>
      <c r="L3" s="69">
        <f t="shared" ref="L3:L20" si="2">IFS(F3="Yes",3,F3="No",0)</f>
        <v>3</v>
      </c>
      <c r="M3" s="69">
        <f t="shared" ref="M3:M20" si="3">IFS(G3="Tied",2,G3="Won",5,G3="Lost",0)</f>
        <v>2</v>
      </c>
      <c r="N3" s="69">
        <v>0.0</v>
      </c>
      <c r="O3" s="69">
        <v>1.0</v>
      </c>
      <c r="P3" s="69">
        <v>2.0</v>
      </c>
      <c r="Q3" s="91">
        <f t="shared" ref="Q3:Q20" si="4">SUM(L3:P3)</f>
        <v>8</v>
      </c>
      <c r="R3" s="85"/>
    </row>
    <row r="4">
      <c r="A4" s="68" t="s">
        <v>161</v>
      </c>
      <c r="B4" s="89">
        <v>46096.0</v>
      </c>
      <c r="C4" s="68" t="s">
        <v>131</v>
      </c>
      <c r="D4" s="278" t="s">
        <v>29</v>
      </c>
      <c r="E4" s="78" t="s">
        <v>21</v>
      </c>
      <c r="F4" s="69" t="s">
        <v>123</v>
      </c>
      <c r="G4" s="69" t="s">
        <v>60</v>
      </c>
      <c r="H4" s="69">
        <v>9.1</v>
      </c>
      <c r="I4" s="69">
        <v>43.0</v>
      </c>
      <c r="J4" s="69">
        <f t="shared" si="1"/>
        <v>38</v>
      </c>
      <c r="K4" s="71">
        <v>18.0</v>
      </c>
      <c r="L4" s="69">
        <f t="shared" si="2"/>
        <v>3</v>
      </c>
      <c r="M4" s="69">
        <f t="shared" si="3"/>
        <v>2</v>
      </c>
      <c r="N4" s="69">
        <v>6.0</v>
      </c>
      <c r="O4" s="69">
        <v>3.0</v>
      </c>
      <c r="P4" s="69">
        <v>3.0</v>
      </c>
      <c r="Q4" s="91">
        <f t="shared" si="4"/>
        <v>17</v>
      </c>
      <c r="R4" s="85"/>
    </row>
    <row r="5">
      <c r="A5" s="68" t="s">
        <v>161</v>
      </c>
      <c r="B5" s="89">
        <v>46096.0</v>
      </c>
      <c r="C5" s="68" t="s">
        <v>131</v>
      </c>
      <c r="D5" s="278" t="s">
        <v>20</v>
      </c>
      <c r="E5" s="78" t="s">
        <v>24</v>
      </c>
      <c r="F5" s="69" t="s">
        <v>123</v>
      </c>
      <c r="G5" s="69" t="s">
        <v>62</v>
      </c>
      <c r="H5" s="69">
        <v>19.1</v>
      </c>
      <c r="I5" s="69">
        <v>49.0</v>
      </c>
      <c r="J5" s="69">
        <f t="shared" si="1"/>
        <v>39</v>
      </c>
      <c r="K5" s="71">
        <v>18.0</v>
      </c>
      <c r="L5" s="69">
        <f t="shared" si="2"/>
        <v>3</v>
      </c>
      <c r="M5" s="69">
        <f t="shared" si="3"/>
        <v>0</v>
      </c>
      <c r="N5" s="69">
        <v>1.0</v>
      </c>
      <c r="O5" s="69">
        <v>2.0</v>
      </c>
      <c r="P5" s="69">
        <v>3.0</v>
      </c>
      <c r="Q5" s="91">
        <f t="shared" si="4"/>
        <v>9</v>
      </c>
      <c r="R5" s="85"/>
    </row>
    <row r="6">
      <c r="A6" s="68" t="s">
        <v>161</v>
      </c>
      <c r="B6" s="89">
        <v>46096.0</v>
      </c>
      <c r="C6" s="68" t="s">
        <v>131</v>
      </c>
      <c r="D6" s="278" t="s">
        <v>159</v>
      </c>
      <c r="E6" s="78" t="s">
        <v>22</v>
      </c>
      <c r="F6" s="69" t="s">
        <v>123</v>
      </c>
      <c r="G6" s="69" t="s">
        <v>60</v>
      </c>
      <c r="H6" s="69">
        <v>19.1</v>
      </c>
      <c r="I6" s="69">
        <v>47.0</v>
      </c>
      <c r="J6" s="69">
        <f t="shared" si="1"/>
        <v>37</v>
      </c>
      <c r="K6" s="71">
        <v>16.0</v>
      </c>
      <c r="L6" s="69">
        <f t="shared" si="2"/>
        <v>3</v>
      </c>
      <c r="M6" s="69">
        <f t="shared" si="3"/>
        <v>2</v>
      </c>
      <c r="N6" s="69">
        <v>3.0</v>
      </c>
      <c r="O6" s="69">
        <v>4.0</v>
      </c>
      <c r="P6" s="69">
        <v>5.0</v>
      </c>
      <c r="Q6" s="91">
        <f t="shared" si="4"/>
        <v>17</v>
      </c>
      <c r="R6" s="85"/>
    </row>
    <row r="7">
      <c r="A7" s="68" t="s">
        <v>161</v>
      </c>
      <c r="B7" s="89">
        <v>46096.0</v>
      </c>
      <c r="C7" s="68" t="s">
        <v>131</v>
      </c>
      <c r="D7" s="278" t="s">
        <v>24</v>
      </c>
      <c r="E7" s="78" t="s">
        <v>20</v>
      </c>
      <c r="F7" s="69" t="s">
        <v>123</v>
      </c>
      <c r="G7" s="69" t="s">
        <v>62</v>
      </c>
      <c r="H7" s="69">
        <v>12.1</v>
      </c>
      <c r="I7" s="69">
        <v>46.0</v>
      </c>
      <c r="J7" s="69">
        <f t="shared" si="1"/>
        <v>39</v>
      </c>
      <c r="K7" s="71">
        <v>17.0</v>
      </c>
      <c r="L7" s="69">
        <f t="shared" si="2"/>
        <v>3</v>
      </c>
      <c r="M7" s="69">
        <f t="shared" si="3"/>
        <v>0</v>
      </c>
      <c r="N7" s="69">
        <v>4.0</v>
      </c>
      <c r="O7" s="69">
        <v>2.0</v>
      </c>
      <c r="P7" s="69">
        <v>4.0</v>
      </c>
      <c r="Q7" s="91">
        <f t="shared" si="4"/>
        <v>13</v>
      </c>
      <c r="R7" s="85"/>
    </row>
    <row r="8">
      <c r="A8" s="68" t="s">
        <v>161</v>
      </c>
      <c r="B8" s="89">
        <v>46096.0</v>
      </c>
      <c r="C8" s="68" t="s">
        <v>131</v>
      </c>
      <c r="D8" s="278" t="s">
        <v>28</v>
      </c>
      <c r="E8" s="78" t="s">
        <v>18</v>
      </c>
      <c r="F8" s="69" t="s">
        <v>123</v>
      </c>
      <c r="G8" s="69" t="s">
        <v>63</v>
      </c>
      <c r="H8" s="69">
        <v>28.5</v>
      </c>
      <c r="I8" s="69">
        <v>52.0</v>
      </c>
      <c r="J8" s="69">
        <f t="shared" si="1"/>
        <v>37</v>
      </c>
      <c r="K8" s="71">
        <v>18.0</v>
      </c>
      <c r="L8" s="69">
        <f t="shared" si="2"/>
        <v>3</v>
      </c>
      <c r="M8" s="69">
        <f t="shared" si="3"/>
        <v>5</v>
      </c>
      <c r="N8" s="69">
        <v>0.0</v>
      </c>
      <c r="O8" s="69">
        <v>4.0</v>
      </c>
      <c r="P8" s="69">
        <v>3.0</v>
      </c>
      <c r="Q8" s="91">
        <f t="shared" si="4"/>
        <v>15</v>
      </c>
      <c r="R8" s="85"/>
    </row>
    <row r="9">
      <c r="A9" s="68" t="s">
        <v>161</v>
      </c>
      <c r="B9" s="89">
        <v>46096.0</v>
      </c>
      <c r="C9" s="68" t="s">
        <v>131</v>
      </c>
      <c r="D9" s="278" t="s">
        <v>25</v>
      </c>
      <c r="E9" s="78" t="s">
        <v>162</v>
      </c>
      <c r="F9" s="69" t="s">
        <v>123</v>
      </c>
      <c r="G9" s="69" t="s">
        <v>63</v>
      </c>
      <c r="H9" s="69">
        <v>17.9</v>
      </c>
      <c r="I9" s="69">
        <v>48.0</v>
      </c>
      <c r="J9" s="69">
        <f t="shared" si="1"/>
        <v>39</v>
      </c>
      <c r="K9" s="71">
        <v>21.0</v>
      </c>
      <c r="L9" s="69">
        <f t="shared" si="2"/>
        <v>3</v>
      </c>
      <c r="M9" s="69">
        <f t="shared" si="3"/>
        <v>5</v>
      </c>
      <c r="N9" s="69">
        <v>2.0</v>
      </c>
      <c r="O9" s="69">
        <v>2.0</v>
      </c>
      <c r="P9" s="69">
        <v>0.0</v>
      </c>
      <c r="Q9" s="91">
        <f t="shared" si="4"/>
        <v>12</v>
      </c>
      <c r="R9" s="85"/>
    </row>
    <row r="10">
      <c r="A10" s="68" t="s">
        <v>161</v>
      </c>
      <c r="B10" s="89">
        <v>46096.0</v>
      </c>
      <c r="C10" s="68" t="s">
        <v>131</v>
      </c>
      <c r="D10" s="278" t="s">
        <v>18</v>
      </c>
      <c r="E10" s="78" t="s">
        <v>28</v>
      </c>
      <c r="F10" s="69" t="s">
        <v>123</v>
      </c>
      <c r="G10" s="69" t="s">
        <v>63</v>
      </c>
      <c r="H10" s="69">
        <v>12.3</v>
      </c>
      <c r="I10" s="69">
        <v>43.0</v>
      </c>
      <c r="J10" s="69">
        <f t="shared" si="1"/>
        <v>36</v>
      </c>
      <c r="K10" s="71">
        <v>19.0</v>
      </c>
      <c r="L10" s="69">
        <f t="shared" si="2"/>
        <v>3</v>
      </c>
      <c r="M10" s="69">
        <f t="shared" si="3"/>
        <v>5</v>
      </c>
      <c r="N10" s="69">
        <v>6.0</v>
      </c>
      <c r="O10" s="69">
        <v>6.0</v>
      </c>
      <c r="P10" s="69">
        <v>2.0</v>
      </c>
      <c r="Q10" s="91">
        <f t="shared" si="4"/>
        <v>22</v>
      </c>
      <c r="R10" s="85"/>
    </row>
    <row r="11">
      <c r="A11" s="68" t="s">
        <v>161</v>
      </c>
      <c r="B11" s="89">
        <v>46096.0</v>
      </c>
      <c r="C11" s="68" t="s">
        <v>131</v>
      </c>
      <c r="D11" s="278" t="s">
        <v>22</v>
      </c>
      <c r="E11" s="78" t="s">
        <v>159</v>
      </c>
      <c r="F11" s="69" t="s">
        <v>123</v>
      </c>
      <c r="G11" s="69" t="s">
        <v>60</v>
      </c>
      <c r="H11" s="69">
        <v>19.2</v>
      </c>
      <c r="I11" s="69">
        <v>48.0</v>
      </c>
      <c r="J11" s="69">
        <f t="shared" si="1"/>
        <v>38</v>
      </c>
      <c r="K11" s="71">
        <v>20.0</v>
      </c>
      <c r="L11" s="69">
        <f t="shared" si="2"/>
        <v>3</v>
      </c>
      <c r="M11" s="69">
        <f t="shared" si="3"/>
        <v>2</v>
      </c>
      <c r="N11" s="69">
        <v>2.0</v>
      </c>
      <c r="O11" s="69">
        <v>3.0</v>
      </c>
      <c r="P11" s="69">
        <v>1.0</v>
      </c>
      <c r="Q11" s="91">
        <f t="shared" si="4"/>
        <v>11</v>
      </c>
      <c r="R11" s="85"/>
    </row>
    <row r="12">
      <c r="A12" s="68" t="s">
        <v>163</v>
      </c>
      <c r="B12" s="89">
        <v>46104.0</v>
      </c>
      <c r="C12" s="68" t="s">
        <v>145</v>
      </c>
      <c r="D12" s="278" t="s">
        <v>21</v>
      </c>
      <c r="E12" s="78" t="s">
        <v>159</v>
      </c>
      <c r="F12" s="69" t="s">
        <v>123</v>
      </c>
      <c r="G12" s="69" t="s">
        <v>62</v>
      </c>
      <c r="H12" s="69">
        <v>17.9</v>
      </c>
      <c r="I12" s="69">
        <v>50.0</v>
      </c>
      <c r="J12" s="69">
        <f t="shared" si="1"/>
        <v>41</v>
      </c>
      <c r="K12" s="71">
        <v>19.0</v>
      </c>
      <c r="L12" s="69">
        <f t="shared" si="2"/>
        <v>3</v>
      </c>
      <c r="M12" s="69">
        <f t="shared" si="3"/>
        <v>0</v>
      </c>
      <c r="N12" s="69">
        <v>0.0</v>
      </c>
      <c r="O12" s="69">
        <v>1.0</v>
      </c>
      <c r="P12" s="69">
        <v>2.0</v>
      </c>
      <c r="Q12" s="91">
        <f t="shared" si="4"/>
        <v>6</v>
      </c>
      <c r="R12" s="85"/>
    </row>
    <row r="13">
      <c r="A13" s="68" t="s">
        <v>163</v>
      </c>
      <c r="B13" s="89">
        <v>46104.0</v>
      </c>
      <c r="C13" s="68" t="s">
        <v>145</v>
      </c>
      <c r="D13" s="278" t="s">
        <v>29</v>
      </c>
      <c r="E13" s="78" t="s">
        <v>20</v>
      </c>
      <c r="F13" s="69" t="s">
        <v>123</v>
      </c>
      <c r="G13" s="69" t="s">
        <v>60</v>
      </c>
      <c r="H13" s="69">
        <v>9.1</v>
      </c>
      <c r="I13" s="69">
        <v>43.0</v>
      </c>
      <c r="J13" s="69">
        <f t="shared" si="1"/>
        <v>38</v>
      </c>
      <c r="K13" s="71">
        <v>18.0</v>
      </c>
      <c r="L13" s="69">
        <f t="shared" si="2"/>
        <v>3</v>
      </c>
      <c r="M13" s="69">
        <f t="shared" si="3"/>
        <v>2</v>
      </c>
      <c r="N13" s="69">
        <v>6.0</v>
      </c>
      <c r="O13" s="69">
        <v>3.0</v>
      </c>
      <c r="P13" s="69">
        <v>3.0</v>
      </c>
      <c r="Q13" s="91">
        <f t="shared" si="4"/>
        <v>17</v>
      </c>
      <c r="R13" s="85"/>
    </row>
    <row r="14">
      <c r="A14" s="68" t="s">
        <v>163</v>
      </c>
      <c r="B14" s="89">
        <v>46104.0</v>
      </c>
      <c r="C14" s="68" t="s">
        <v>145</v>
      </c>
      <c r="D14" s="278" t="s">
        <v>20</v>
      </c>
      <c r="E14" s="78" t="s">
        <v>29</v>
      </c>
      <c r="F14" s="69" t="s">
        <v>123</v>
      </c>
      <c r="G14" s="69" t="s">
        <v>63</v>
      </c>
      <c r="H14" s="69">
        <v>19.1</v>
      </c>
      <c r="I14" s="69">
        <v>49.0</v>
      </c>
      <c r="J14" s="69">
        <f t="shared" si="1"/>
        <v>39</v>
      </c>
      <c r="K14" s="71">
        <v>18.0</v>
      </c>
      <c r="L14" s="69">
        <f t="shared" si="2"/>
        <v>3</v>
      </c>
      <c r="M14" s="69">
        <f t="shared" si="3"/>
        <v>5</v>
      </c>
      <c r="N14" s="69">
        <v>1.0</v>
      </c>
      <c r="O14" s="69">
        <v>2.0</v>
      </c>
      <c r="P14" s="69">
        <v>3.0</v>
      </c>
      <c r="Q14" s="91">
        <f t="shared" si="4"/>
        <v>14</v>
      </c>
      <c r="R14" s="85"/>
    </row>
    <row r="15">
      <c r="A15" s="68" t="s">
        <v>163</v>
      </c>
      <c r="B15" s="89">
        <v>46104.0</v>
      </c>
      <c r="C15" s="68" t="s">
        <v>145</v>
      </c>
      <c r="D15" s="278" t="s">
        <v>159</v>
      </c>
      <c r="E15" s="78" t="s">
        <v>21</v>
      </c>
      <c r="F15" s="69" t="s">
        <v>123</v>
      </c>
      <c r="G15" s="69" t="s">
        <v>63</v>
      </c>
      <c r="H15" s="69">
        <v>19.1</v>
      </c>
      <c r="I15" s="69">
        <v>47.0</v>
      </c>
      <c r="J15" s="69">
        <f t="shared" si="1"/>
        <v>37</v>
      </c>
      <c r="K15" s="71">
        <v>16.0</v>
      </c>
      <c r="L15" s="69">
        <f t="shared" si="2"/>
        <v>3</v>
      </c>
      <c r="M15" s="69">
        <f t="shared" si="3"/>
        <v>5</v>
      </c>
      <c r="N15" s="69">
        <v>3.0</v>
      </c>
      <c r="O15" s="69">
        <v>4.0</v>
      </c>
      <c r="P15" s="69">
        <v>5.0</v>
      </c>
      <c r="Q15" s="91">
        <f t="shared" si="4"/>
        <v>20</v>
      </c>
      <c r="R15" s="85"/>
    </row>
    <row r="16">
      <c r="A16" s="68" t="s">
        <v>163</v>
      </c>
      <c r="B16" s="89">
        <v>46104.0</v>
      </c>
      <c r="C16" s="68" t="s">
        <v>145</v>
      </c>
      <c r="D16" s="278" t="s">
        <v>24</v>
      </c>
      <c r="E16" s="78" t="s">
        <v>18</v>
      </c>
      <c r="F16" s="69" t="s">
        <v>123</v>
      </c>
      <c r="G16" s="69" t="s">
        <v>60</v>
      </c>
      <c r="H16" s="69">
        <v>12.1</v>
      </c>
      <c r="I16" s="69">
        <v>46.0</v>
      </c>
      <c r="J16" s="69">
        <f t="shared" si="1"/>
        <v>39</v>
      </c>
      <c r="K16" s="71">
        <v>17.0</v>
      </c>
      <c r="L16" s="69">
        <f t="shared" si="2"/>
        <v>3</v>
      </c>
      <c r="M16" s="69">
        <f t="shared" si="3"/>
        <v>2</v>
      </c>
      <c r="N16" s="69">
        <v>4.0</v>
      </c>
      <c r="O16" s="69">
        <v>2.0</v>
      </c>
      <c r="P16" s="69">
        <v>4.0</v>
      </c>
      <c r="Q16" s="91">
        <f t="shared" si="4"/>
        <v>15</v>
      </c>
      <c r="R16" s="85"/>
    </row>
    <row r="17">
      <c r="A17" s="68" t="s">
        <v>163</v>
      </c>
      <c r="B17" s="89">
        <v>46104.0</v>
      </c>
      <c r="C17" s="68" t="s">
        <v>145</v>
      </c>
      <c r="D17" s="278" t="s">
        <v>28</v>
      </c>
      <c r="E17" s="78" t="s">
        <v>57</v>
      </c>
      <c r="F17" s="69" t="s">
        <v>61</v>
      </c>
      <c r="G17" s="69" t="s">
        <v>62</v>
      </c>
      <c r="H17" s="69" t="s">
        <v>57</v>
      </c>
      <c r="I17" s="69" t="s">
        <v>57</v>
      </c>
      <c r="J17" s="69" t="s">
        <v>57</v>
      </c>
      <c r="K17" s="71" t="s">
        <v>57</v>
      </c>
      <c r="L17" s="69">
        <f t="shared" si="2"/>
        <v>0</v>
      </c>
      <c r="M17" s="69">
        <f t="shared" si="3"/>
        <v>0</v>
      </c>
      <c r="N17" s="69">
        <v>0.0</v>
      </c>
      <c r="O17" s="69">
        <v>0.0</v>
      </c>
      <c r="P17" s="69">
        <v>0.0</v>
      </c>
      <c r="Q17" s="91">
        <f t="shared" si="4"/>
        <v>0</v>
      </c>
      <c r="R17" s="85"/>
    </row>
    <row r="18">
      <c r="A18" s="68" t="s">
        <v>163</v>
      </c>
      <c r="B18" s="89">
        <v>46104.0</v>
      </c>
      <c r="C18" s="68" t="s">
        <v>145</v>
      </c>
      <c r="D18" s="278" t="s">
        <v>25</v>
      </c>
      <c r="E18" s="78" t="s">
        <v>22</v>
      </c>
      <c r="F18" s="69" t="s">
        <v>123</v>
      </c>
      <c r="G18" s="69" t="s">
        <v>60</v>
      </c>
      <c r="H18" s="69">
        <v>17.9</v>
      </c>
      <c r="I18" s="69">
        <v>48.0</v>
      </c>
      <c r="J18" s="69">
        <f t="shared" ref="J18:J20" si="5">I18-ROUNDUP(H18/2,0)</f>
        <v>39</v>
      </c>
      <c r="K18" s="71">
        <v>21.0</v>
      </c>
      <c r="L18" s="69">
        <f t="shared" si="2"/>
        <v>3</v>
      </c>
      <c r="M18" s="69">
        <f t="shared" si="3"/>
        <v>2</v>
      </c>
      <c r="N18" s="69">
        <v>2.0</v>
      </c>
      <c r="O18" s="69">
        <v>2.0</v>
      </c>
      <c r="P18" s="69">
        <v>0.0</v>
      </c>
      <c r="Q18" s="91">
        <f t="shared" si="4"/>
        <v>9</v>
      </c>
      <c r="R18" s="85"/>
    </row>
    <row r="19">
      <c r="A19" s="68" t="s">
        <v>163</v>
      </c>
      <c r="B19" s="89">
        <v>46104.0</v>
      </c>
      <c r="C19" s="68" t="s">
        <v>145</v>
      </c>
      <c r="D19" s="278" t="s">
        <v>18</v>
      </c>
      <c r="E19" s="78" t="s">
        <v>24</v>
      </c>
      <c r="F19" s="69" t="s">
        <v>123</v>
      </c>
      <c r="G19" s="69" t="s">
        <v>62</v>
      </c>
      <c r="H19" s="69">
        <v>12.3</v>
      </c>
      <c r="I19" s="69">
        <v>43.0</v>
      </c>
      <c r="J19" s="69">
        <f t="shared" si="5"/>
        <v>36</v>
      </c>
      <c r="K19" s="71">
        <v>19.0</v>
      </c>
      <c r="L19" s="69">
        <f t="shared" si="2"/>
        <v>3</v>
      </c>
      <c r="M19" s="69">
        <f t="shared" si="3"/>
        <v>0</v>
      </c>
      <c r="N19" s="69">
        <v>6.0</v>
      </c>
      <c r="O19" s="69">
        <v>6.0</v>
      </c>
      <c r="P19" s="69">
        <v>2.0</v>
      </c>
      <c r="Q19" s="91">
        <f t="shared" si="4"/>
        <v>17</v>
      </c>
      <c r="R19" s="85"/>
    </row>
    <row r="20">
      <c r="A20" s="68" t="s">
        <v>163</v>
      </c>
      <c r="B20" s="89">
        <v>46104.0</v>
      </c>
      <c r="C20" s="68" t="s">
        <v>145</v>
      </c>
      <c r="D20" s="278" t="s">
        <v>22</v>
      </c>
      <c r="E20" s="78" t="s">
        <v>18</v>
      </c>
      <c r="F20" s="69" t="s">
        <v>123</v>
      </c>
      <c r="G20" s="69" t="s">
        <v>60</v>
      </c>
      <c r="H20" s="69">
        <v>19.2</v>
      </c>
      <c r="I20" s="69">
        <v>48.0</v>
      </c>
      <c r="J20" s="69">
        <f t="shared" si="5"/>
        <v>38</v>
      </c>
      <c r="K20" s="71">
        <v>20.0</v>
      </c>
      <c r="L20" s="69">
        <f t="shared" si="2"/>
        <v>3</v>
      </c>
      <c r="M20" s="69">
        <f t="shared" si="3"/>
        <v>2</v>
      </c>
      <c r="N20" s="69">
        <v>2.0</v>
      </c>
      <c r="O20" s="69">
        <v>3.0</v>
      </c>
      <c r="P20" s="69">
        <v>1.0</v>
      </c>
      <c r="Q20" s="99">
        <f t="shared" si="4"/>
        <v>11</v>
      </c>
      <c r="R20" s="279"/>
    </row>
  </sheetData>
  <autoFilter ref="$A$2:$Q$20">
    <sortState ref="A2:Q20">
      <sortCondition ref="A2:A20"/>
      <sortCondition ref="D2:D20"/>
      <sortCondition ref="G2:G20"/>
      <sortCondition descending="1" ref="Q2:Q20"/>
      <sortCondition ref="K2:K20"/>
      <sortCondition ref="J2:J20"/>
      <sortCondition ref="I2:I20"/>
      <sortCondition descending="1" ref="C2:C20"/>
      <sortCondition descending="1" ref="B2:B20"/>
    </sortState>
  </autoFilter>
  <mergeCells count="3">
    <mergeCell ref="A1:D1"/>
    <mergeCell ref="E1:K1"/>
    <mergeCell ref="L1:P1"/>
  </mergeCells>
  <conditionalFormatting sqref="L1:L20">
    <cfRule type="cellIs" dxfId="0" priority="1" operator="equal">
      <formula>3</formula>
    </cfRule>
  </conditionalFormatting>
  <conditionalFormatting sqref="M2:M20">
    <cfRule type="cellIs" dxfId="0" priority="2" operator="equal">
      <formula>5</formula>
    </cfRule>
  </conditionalFormatting>
  <conditionalFormatting sqref="M2:M20">
    <cfRule type="cellIs" dxfId="1" priority="3" operator="equal">
      <formula>2</formula>
    </cfRule>
  </conditionalFormatting>
  <conditionalFormatting sqref="N2:P20">
    <cfRule type="cellIs" dxfId="0" priority="4" operator="greaterThanOrEqual">
      <formula>5</formula>
    </cfRule>
  </conditionalFormatting>
  <conditionalFormatting sqref="N2:P20">
    <cfRule type="cellIs" dxfId="1" priority="5" operator="equal">
      <formula>4</formula>
    </cfRule>
  </conditionalFormatting>
  <conditionalFormatting sqref="N2:P20">
    <cfRule type="cellIs" dxfId="2" priority="6" operator="equal">
      <formula>3</formula>
    </cfRule>
  </conditionalFormatting>
  <conditionalFormatting sqref="N2:P20">
    <cfRule type="cellIs" dxfId="3" priority="7" operator="equal">
      <formula>2</formula>
    </cfRule>
  </conditionalFormatting>
  <conditionalFormatting sqref="N2:P20">
    <cfRule type="cellIs" dxfId="4" priority="8" operator="equal">
      <formula>1</formula>
    </cfRule>
  </conditionalFormatting>
  <conditionalFormatting sqref="L1:Q20">
    <cfRule type="cellIs" dxfId="5" priority="9" operator="equal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3" max="3" width="11.5"/>
    <col customWidth="1" min="4" max="4" width="5.75"/>
    <col customWidth="1" min="5" max="5" width="4.75"/>
    <col customWidth="1" min="6" max="6" width="3.63"/>
    <col customWidth="1" min="7" max="7" width="3.88"/>
    <col customWidth="1" min="8" max="8" width="3.38"/>
    <col customWidth="1" min="9" max="9" width="5.5"/>
    <col customWidth="1" min="10" max="10" width="6.38"/>
    <col customWidth="1" min="11" max="11" width="4.88"/>
    <col customWidth="1" min="12" max="12" width="4.5"/>
    <col customWidth="1" min="13" max="13" width="1.63"/>
  </cols>
  <sheetData>
    <row r="1">
      <c r="A1" s="26"/>
      <c r="B1" s="280" t="s">
        <v>34</v>
      </c>
      <c r="C1" s="281" t="s">
        <v>164</v>
      </c>
      <c r="D1" s="282" t="s">
        <v>20</v>
      </c>
      <c r="E1" s="282" t="s">
        <v>18</v>
      </c>
      <c r="F1" s="282" t="s">
        <v>159</v>
      </c>
      <c r="G1" s="282" t="s">
        <v>25</v>
      </c>
      <c r="H1" s="282" t="s">
        <v>24</v>
      </c>
      <c r="I1" s="282" t="s">
        <v>28</v>
      </c>
      <c r="J1" s="282" t="s">
        <v>29</v>
      </c>
      <c r="K1" s="282" t="s">
        <v>22</v>
      </c>
      <c r="L1" s="283" t="s">
        <v>21</v>
      </c>
      <c r="M1" s="39"/>
    </row>
    <row r="2" ht="4.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39"/>
    </row>
    <row r="3">
      <c r="A3" s="26"/>
      <c r="B3" s="284" t="s">
        <v>165</v>
      </c>
      <c r="C3" s="285" t="s">
        <v>89</v>
      </c>
      <c r="D3" s="286">
        <v>3.0</v>
      </c>
      <c r="E3" s="286">
        <v>3.0</v>
      </c>
      <c r="F3" s="286">
        <v>3.0</v>
      </c>
      <c r="G3" s="286">
        <v>3.0</v>
      </c>
      <c r="H3" s="286">
        <v>3.0</v>
      </c>
      <c r="I3" s="286">
        <v>3.0</v>
      </c>
      <c r="J3" s="286">
        <v>3.0</v>
      </c>
      <c r="K3" s="286">
        <v>3.0</v>
      </c>
      <c r="L3" s="287">
        <v>3.0</v>
      </c>
      <c r="M3" s="39"/>
    </row>
    <row r="4">
      <c r="A4" s="26"/>
      <c r="B4" s="288"/>
      <c r="C4" s="289" t="s">
        <v>166</v>
      </c>
      <c r="D4" s="69" t="s">
        <v>19</v>
      </c>
      <c r="E4" s="69">
        <v>5.0</v>
      </c>
      <c r="F4" s="69">
        <v>2.0</v>
      </c>
      <c r="G4" s="69">
        <v>5.0</v>
      </c>
      <c r="H4" s="69" t="s">
        <v>19</v>
      </c>
      <c r="I4" s="69">
        <v>5.0</v>
      </c>
      <c r="J4" s="69">
        <v>2.0</v>
      </c>
      <c r="K4" s="69">
        <v>2.0</v>
      </c>
      <c r="L4" s="71">
        <v>2.0</v>
      </c>
      <c r="M4" s="39"/>
    </row>
    <row r="5">
      <c r="A5" s="26"/>
      <c r="B5" s="288"/>
      <c r="C5" s="289" t="s">
        <v>91</v>
      </c>
      <c r="D5" s="69">
        <v>1.0</v>
      </c>
      <c r="E5" s="69">
        <v>6.0</v>
      </c>
      <c r="F5" s="69">
        <v>3.0</v>
      </c>
      <c r="G5" s="69">
        <v>2.0</v>
      </c>
      <c r="H5" s="69">
        <v>4.0</v>
      </c>
      <c r="I5" s="69" t="s">
        <v>19</v>
      </c>
      <c r="J5" s="69">
        <v>6.0</v>
      </c>
      <c r="K5" s="69">
        <v>2.0</v>
      </c>
      <c r="L5" s="69" t="s">
        <v>19</v>
      </c>
      <c r="M5" s="39"/>
    </row>
    <row r="6">
      <c r="A6" s="26"/>
      <c r="B6" s="288"/>
      <c r="C6" s="289" t="s">
        <v>92</v>
      </c>
      <c r="D6" s="69">
        <v>2.0</v>
      </c>
      <c r="E6" s="69">
        <v>6.0</v>
      </c>
      <c r="F6" s="69">
        <v>4.0</v>
      </c>
      <c r="G6" s="69">
        <v>2.0</v>
      </c>
      <c r="H6" s="69">
        <v>2.0</v>
      </c>
      <c r="I6" s="69">
        <v>4.0</v>
      </c>
      <c r="J6" s="69">
        <v>3.0</v>
      </c>
      <c r="K6" s="69">
        <v>3.0</v>
      </c>
      <c r="L6" s="69">
        <v>1.0</v>
      </c>
      <c r="M6" s="39"/>
    </row>
    <row r="7">
      <c r="A7" s="26"/>
      <c r="B7" s="288"/>
      <c r="C7" s="289" t="s">
        <v>46</v>
      </c>
      <c r="D7" s="69">
        <v>3.0</v>
      </c>
      <c r="E7" s="69">
        <v>3.0</v>
      </c>
      <c r="F7" s="69">
        <v>5.0</v>
      </c>
      <c r="G7" s="69" t="s">
        <v>19</v>
      </c>
      <c r="H7" s="69">
        <v>4.0</v>
      </c>
      <c r="I7" s="69">
        <v>2.0</v>
      </c>
      <c r="J7" s="69">
        <v>3.0</v>
      </c>
      <c r="K7" s="69">
        <v>1.0</v>
      </c>
      <c r="L7" s="69">
        <v>2.0</v>
      </c>
      <c r="M7" s="39"/>
    </row>
    <row r="8">
      <c r="A8" s="26"/>
      <c r="B8" s="290"/>
      <c r="C8" s="291" t="s">
        <v>167</v>
      </c>
      <c r="D8" s="292">
        <f t="shared" ref="D8:L8" si="1">SUM(D3:D7)</f>
        <v>9</v>
      </c>
      <c r="E8" s="292">
        <f t="shared" si="1"/>
        <v>23</v>
      </c>
      <c r="F8" s="292">
        <f t="shared" si="1"/>
        <v>17</v>
      </c>
      <c r="G8" s="292">
        <f t="shared" si="1"/>
        <v>12</v>
      </c>
      <c r="H8" s="292">
        <f t="shared" si="1"/>
        <v>13</v>
      </c>
      <c r="I8" s="292">
        <f t="shared" si="1"/>
        <v>14</v>
      </c>
      <c r="J8" s="292">
        <f t="shared" si="1"/>
        <v>17</v>
      </c>
      <c r="K8" s="292">
        <f t="shared" si="1"/>
        <v>11</v>
      </c>
      <c r="L8" s="292">
        <f t="shared" si="1"/>
        <v>8</v>
      </c>
      <c r="M8" s="39"/>
    </row>
    <row r="9" ht="6.0" customHeight="1">
      <c r="A9" s="39"/>
      <c r="B9" s="293"/>
      <c r="C9" s="294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>
      <c r="A10" s="26"/>
      <c r="B10" s="284" t="s">
        <v>168</v>
      </c>
      <c r="C10" s="285" t="s">
        <v>89</v>
      </c>
      <c r="D10" s="286"/>
      <c r="E10" s="286"/>
      <c r="F10" s="286"/>
      <c r="G10" s="286"/>
      <c r="H10" s="286"/>
      <c r="I10" s="286"/>
      <c r="J10" s="286"/>
      <c r="K10" s="286"/>
      <c r="L10" s="287"/>
      <c r="M10" s="39"/>
    </row>
    <row r="11">
      <c r="A11" s="26"/>
      <c r="B11" s="288"/>
      <c r="C11" s="289" t="s">
        <v>166</v>
      </c>
      <c r="D11" s="69"/>
      <c r="E11" s="69"/>
      <c r="F11" s="69"/>
      <c r="G11" s="69"/>
      <c r="H11" s="69"/>
      <c r="I11" s="69"/>
      <c r="J11" s="69"/>
      <c r="K11" s="69"/>
      <c r="L11" s="71"/>
      <c r="M11" s="39"/>
    </row>
    <row r="12">
      <c r="A12" s="26"/>
      <c r="B12" s="288"/>
      <c r="C12" s="289" t="s">
        <v>91</v>
      </c>
      <c r="D12" s="69"/>
      <c r="E12" s="69"/>
      <c r="F12" s="69"/>
      <c r="G12" s="69"/>
      <c r="H12" s="69"/>
      <c r="I12" s="69"/>
      <c r="J12" s="69"/>
      <c r="K12" s="69"/>
      <c r="L12" s="69"/>
      <c r="M12" s="39"/>
    </row>
    <row r="13">
      <c r="A13" s="26"/>
      <c r="B13" s="288"/>
      <c r="C13" s="289" t="s">
        <v>92</v>
      </c>
      <c r="D13" s="69"/>
      <c r="E13" s="69"/>
      <c r="F13" s="69"/>
      <c r="G13" s="69"/>
      <c r="H13" s="69"/>
      <c r="I13" s="69"/>
      <c r="J13" s="69"/>
      <c r="K13" s="69"/>
      <c r="L13" s="69"/>
      <c r="M13" s="39"/>
    </row>
    <row r="14">
      <c r="A14" s="26"/>
      <c r="B14" s="288"/>
      <c r="C14" s="289" t="s">
        <v>46</v>
      </c>
      <c r="D14" s="69"/>
      <c r="E14" s="69"/>
      <c r="F14" s="69"/>
      <c r="G14" s="69"/>
      <c r="H14" s="69"/>
      <c r="I14" s="69"/>
      <c r="J14" s="69"/>
      <c r="K14" s="69"/>
      <c r="L14" s="69"/>
      <c r="M14" s="39"/>
    </row>
    <row r="15">
      <c r="A15" s="26"/>
      <c r="B15" s="290"/>
      <c r="C15" s="291" t="s">
        <v>167</v>
      </c>
      <c r="D15" s="292"/>
      <c r="E15" s="292"/>
      <c r="F15" s="292"/>
      <c r="G15" s="292"/>
      <c r="H15" s="292"/>
      <c r="I15" s="292"/>
      <c r="J15" s="292"/>
      <c r="K15" s="292"/>
      <c r="L15" s="292"/>
      <c r="M15" s="39"/>
    </row>
    <row r="16" ht="6.0" customHeight="1">
      <c r="A16" s="39"/>
      <c r="B16" s="293"/>
      <c r="C16" s="294"/>
      <c r="D16" s="39"/>
      <c r="E16" s="39"/>
      <c r="F16" s="39"/>
      <c r="G16" s="39"/>
      <c r="H16" s="39"/>
      <c r="I16" s="39"/>
      <c r="J16" s="39"/>
      <c r="K16" s="39"/>
      <c r="L16" s="39"/>
      <c r="M16" s="39"/>
    </row>
  </sheetData>
  <mergeCells count="2">
    <mergeCell ref="B3:B8"/>
    <mergeCell ref="B10:B15"/>
  </mergeCells>
  <conditionalFormatting sqref="D7:L8 D14:L15">
    <cfRule type="cellIs" dxfId="0" priority="1" operator="equal">
      <formula>5</formula>
    </cfRule>
  </conditionalFormatting>
  <conditionalFormatting sqref="D7:L8 D14:L15">
    <cfRule type="cellIs" dxfId="1" priority="2" operator="equal">
      <formula>4</formula>
    </cfRule>
  </conditionalFormatting>
  <conditionalFormatting sqref="D7:L8 D14:L15">
    <cfRule type="cellIs" dxfId="2" priority="3" operator="equal">
      <formula>3</formula>
    </cfRule>
  </conditionalFormatting>
  <conditionalFormatting sqref="D7:L8 D14:L15">
    <cfRule type="cellIs" dxfId="3" priority="4" operator="equal">
      <formula>2</formula>
    </cfRule>
  </conditionalFormatting>
  <conditionalFormatting sqref="D7:L8 D14:L15">
    <cfRule type="cellIs" dxfId="4" priority="5" operator="equal">
      <formula>1</formula>
    </cfRule>
  </conditionalFormatting>
  <conditionalFormatting sqref="D7:L8 D14:L15">
    <cfRule type="cellIs" dxfId="6" priority="6" operator="equal">
      <formula>"-"</formula>
    </cfRule>
  </conditionalFormatting>
  <conditionalFormatting sqref="D6:L7 D13:L14">
    <cfRule type="cellIs" dxfId="0" priority="7" operator="equal">
      <formula>6</formula>
    </cfRule>
  </conditionalFormatting>
  <conditionalFormatting sqref="D6:L7 D13:L14">
    <cfRule type="cellIs" dxfId="1" priority="8" operator="equal">
      <formula>4</formula>
    </cfRule>
  </conditionalFormatting>
  <conditionalFormatting sqref="D6:L7 D13:L14">
    <cfRule type="cellIs" dxfId="2" priority="9" operator="equal">
      <formula>3</formula>
    </cfRule>
  </conditionalFormatting>
  <conditionalFormatting sqref="D6:L7 D13:L14">
    <cfRule type="cellIs" dxfId="3" priority="10" operator="equal">
      <formula>2</formula>
    </cfRule>
  </conditionalFormatting>
  <conditionalFormatting sqref="D6:L7 D13:L14">
    <cfRule type="cellIs" dxfId="4" priority="11" operator="equal">
      <formula>1</formula>
    </cfRule>
  </conditionalFormatting>
  <conditionalFormatting sqref="D6:L7 D13:L14">
    <cfRule type="cellIs" dxfId="6" priority="12" operator="equal">
      <formula>"-"</formula>
    </cfRule>
  </conditionalFormatting>
  <conditionalFormatting sqref="D3:L3 D10:L10">
    <cfRule type="cellIs" dxfId="0" priority="13" operator="equal">
      <formula>3</formula>
    </cfRule>
  </conditionalFormatting>
  <conditionalFormatting sqref="D3:L3 D10:L10">
    <cfRule type="cellIs" dxfId="6" priority="14" operator="equal">
      <formula>"-"</formula>
    </cfRule>
  </conditionalFormatting>
  <conditionalFormatting sqref="D4:L4 D11:L11">
    <cfRule type="cellIs" dxfId="0" priority="15" operator="equal">
      <formula>5</formula>
    </cfRule>
  </conditionalFormatting>
  <conditionalFormatting sqref="D4:L4 D11:L11">
    <cfRule type="cellIs" dxfId="1" priority="16" operator="equal">
      <formula>2</formula>
    </cfRule>
  </conditionalFormatting>
  <conditionalFormatting sqref="D4:L4 D11:L11">
    <cfRule type="cellIs" dxfId="6" priority="17" operator="equal">
      <formula>"-"</formula>
    </cfRule>
  </conditionalFormatting>
  <conditionalFormatting sqref="D5:L5 D12:L12">
    <cfRule type="cellIs" dxfId="0" priority="18" operator="equal">
      <formula>6</formula>
    </cfRule>
  </conditionalFormatting>
  <conditionalFormatting sqref="D5:L5 D12:L12">
    <cfRule type="cellIs" dxfId="1" priority="19" operator="equal">
      <formula>4</formula>
    </cfRule>
  </conditionalFormatting>
  <conditionalFormatting sqref="D5:L5 D12:L12">
    <cfRule type="cellIs" dxfId="2" priority="20" operator="equal">
      <formula>3</formula>
    </cfRule>
  </conditionalFormatting>
  <conditionalFormatting sqref="D5:L5 D12:L12">
    <cfRule type="cellIs" dxfId="3" priority="21" operator="equal">
      <formula>2</formula>
    </cfRule>
  </conditionalFormatting>
  <conditionalFormatting sqref="D5:L5 D12:L12">
    <cfRule type="cellIs" dxfId="4" priority="22" operator="equal">
      <formula>1</formula>
    </cfRule>
  </conditionalFormatting>
  <conditionalFormatting sqref="D5:L5 D12:L12">
    <cfRule type="cellIs" dxfId="6" priority="23" operator="equal">
      <formula>"-"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63"/>
    <col customWidth="1" min="2" max="2" width="8.63"/>
    <col customWidth="1" min="3" max="3" width="10.25"/>
    <col customWidth="1" min="4" max="4" width="5.38"/>
    <col customWidth="1" min="5" max="5" width="4.75"/>
    <col customWidth="1" min="6" max="8" width="4.25"/>
    <col customWidth="1" min="9" max="9" width="5.5"/>
    <col customWidth="1" min="10" max="10" width="6.38"/>
    <col customWidth="1" min="11" max="11" width="4.88"/>
    <col customWidth="1" min="12" max="12" width="4.5"/>
    <col customWidth="1" min="13" max="13" width="6.63"/>
  </cols>
  <sheetData>
    <row r="1">
      <c r="A1" s="295" t="s">
        <v>0</v>
      </c>
      <c r="B1" s="296" t="s">
        <v>34</v>
      </c>
      <c r="C1" s="297" t="s">
        <v>169</v>
      </c>
      <c r="D1" s="298" t="s">
        <v>20</v>
      </c>
      <c r="E1" s="298" t="s">
        <v>18</v>
      </c>
      <c r="F1" s="298" t="s">
        <v>159</v>
      </c>
      <c r="G1" s="298" t="s">
        <v>25</v>
      </c>
      <c r="H1" s="298" t="s">
        <v>24</v>
      </c>
      <c r="I1" s="298" t="s">
        <v>28</v>
      </c>
      <c r="J1" s="298" t="s">
        <v>29</v>
      </c>
      <c r="K1" s="298" t="s">
        <v>22</v>
      </c>
      <c r="L1" s="299" t="s">
        <v>21</v>
      </c>
      <c r="M1" s="300"/>
    </row>
    <row r="2" ht="6.0" customHeight="1">
      <c r="A2" s="301"/>
      <c r="B2" s="301"/>
      <c r="C2" s="302"/>
      <c r="D2" s="303"/>
      <c r="E2" s="303"/>
      <c r="F2" s="303"/>
      <c r="G2" s="303"/>
      <c r="H2" s="303"/>
      <c r="I2" s="303"/>
      <c r="J2" s="303"/>
      <c r="K2" s="303"/>
      <c r="L2" s="303"/>
      <c r="M2" s="303"/>
    </row>
    <row r="3">
      <c r="A3" s="301"/>
      <c r="B3" s="304" t="s">
        <v>170</v>
      </c>
      <c r="C3" s="305" t="s">
        <v>162</v>
      </c>
      <c r="D3" s="306">
        <v>19.1</v>
      </c>
      <c r="E3" s="306">
        <v>12.3</v>
      </c>
      <c r="F3" s="306">
        <v>19.1</v>
      </c>
      <c r="G3" s="306">
        <v>17.9</v>
      </c>
      <c r="H3" s="306">
        <v>12.1</v>
      </c>
      <c r="I3" s="306">
        <v>28.5</v>
      </c>
      <c r="J3" s="306">
        <v>9.1</v>
      </c>
      <c r="K3" s="306">
        <v>19.2</v>
      </c>
      <c r="L3" s="307">
        <v>17.9</v>
      </c>
      <c r="M3" s="303"/>
    </row>
    <row r="4">
      <c r="A4" s="301"/>
      <c r="B4" s="288"/>
      <c r="C4" s="308" t="s">
        <v>171</v>
      </c>
      <c r="D4" s="309">
        <v>49.0</v>
      </c>
      <c r="E4" s="309">
        <v>43.0</v>
      </c>
      <c r="F4" s="309">
        <v>47.0</v>
      </c>
      <c r="G4" s="309">
        <v>48.0</v>
      </c>
      <c r="H4" s="309">
        <v>46.0</v>
      </c>
      <c r="I4" s="309">
        <v>52.0</v>
      </c>
      <c r="J4" s="309">
        <v>43.0</v>
      </c>
      <c r="K4" s="309">
        <v>48.0</v>
      </c>
      <c r="L4" s="310">
        <v>50.0</v>
      </c>
      <c r="M4" s="303"/>
    </row>
    <row r="5">
      <c r="A5" s="301"/>
      <c r="B5" s="288"/>
      <c r="C5" s="308" t="s">
        <v>172</v>
      </c>
      <c r="D5" s="311">
        <f t="shared" ref="D5:L5" si="1">D4-ROUNDUP((D3/2),0)</f>
        <v>39</v>
      </c>
      <c r="E5" s="311">
        <f t="shared" si="1"/>
        <v>36</v>
      </c>
      <c r="F5" s="311">
        <f t="shared" si="1"/>
        <v>37</v>
      </c>
      <c r="G5" s="311">
        <f t="shared" si="1"/>
        <v>39</v>
      </c>
      <c r="H5" s="311">
        <f t="shared" si="1"/>
        <v>39</v>
      </c>
      <c r="I5" s="311">
        <f t="shared" si="1"/>
        <v>37</v>
      </c>
      <c r="J5" s="311">
        <f t="shared" si="1"/>
        <v>38</v>
      </c>
      <c r="K5" s="311">
        <f t="shared" si="1"/>
        <v>38</v>
      </c>
      <c r="L5" s="312">
        <f t="shared" si="1"/>
        <v>41</v>
      </c>
      <c r="M5" s="303"/>
    </row>
    <row r="6">
      <c r="A6" s="301"/>
      <c r="B6" s="290"/>
      <c r="C6" s="313" t="s">
        <v>46</v>
      </c>
      <c r="D6" s="314">
        <v>18.0</v>
      </c>
      <c r="E6" s="314">
        <v>18.0</v>
      </c>
      <c r="F6" s="314">
        <v>16.0</v>
      </c>
      <c r="G6" s="314">
        <v>21.0</v>
      </c>
      <c r="H6" s="314">
        <v>17.0</v>
      </c>
      <c r="I6" s="314">
        <v>19.0</v>
      </c>
      <c r="J6" s="314">
        <v>18.0</v>
      </c>
      <c r="K6" s="314">
        <v>20.0</v>
      </c>
      <c r="L6" s="315">
        <v>19.0</v>
      </c>
      <c r="M6" s="303"/>
    </row>
    <row r="7" ht="3.75" customHeight="1">
      <c r="A7" s="301"/>
      <c r="B7" s="316"/>
      <c r="C7" s="317"/>
      <c r="D7" s="303"/>
      <c r="E7" s="303"/>
      <c r="F7" s="303"/>
      <c r="G7" s="303"/>
      <c r="H7" s="303"/>
      <c r="I7" s="303"/>
      <c r="J7" s="303"/>
      <c r="K7" s="303"/>
      <c r="L7" s="303"/>
      <c r="M7" s="303"/>
    </row>
    <row r="8">
      <c r="A8" s="301"/>
      <c r="B8" s="304" t="s">
        <v>168</v>
      </c>
      <c r="C8" s="305" t="s">
        <v>162</v>
      </c>
      <c r="D8" s="318"/>
      <c r="E8" s="318"/>
      <c r="F8" s="318"/>
      <c r="G8" s="318"/>
      <c r="H8" s="318"/>
      <c r="I8" s="318"/>
      <c r="J8" s="318"/>
      <c r="K8" s="318"/>
      <c r="L8" s="319"/>
      <c r="M8" s="303"/>
    </row>
    <row r="9">
      <c r="A9" s="301"/>
      <c r="B9" s="288"/>
      <c r="C9" s="308" t="s">
        <v>171</v>
      </c>
      <c r="D9" s="320"/>
      <c r="E9" s="320"/>
      <c r="F9" s="320"/>
      <c r="G9" s="320"/>
      <c r="H9" s="320"/>
      <c r="I9" s="320"/>
      <c r="J9" s="320"/>
      <c r="K9" s="320"/>
      <c r="L9" s="321"/>
      <c r="M9" s="303"/>
    </row>
    <row r="10">
      <c r="A10" s="301"/>
      <c r="B10" s="288"/>
      <c r="C10" s="308" t="s">
        <v>172</v>
      </c>
      <c r="L10" s="322"/>
      <c r="M10" s="303"/>
    </row>
    <row r="11">
      <c r="A11" s="301"/>
      <c r="B11" s="290"/>
      <c r="C11" s="313" t="s">
        <v>46</v>
      </c>
      <c r="D11" s="323"/>
      <c r="E11" s="323"/>
      <c r="F11" s="323"/>
      <c r="G11" s="323"/>
      <c r="H11" s="323"/>
      <c r="I11" s="323"/>
      <c r="J11" s="323"/>
      <c r="K11" s="323"/>
      <c r="L11" s="324"/>
      <c r="M11" s="303"/>
    </row>
    <row r="12" ht="6.75" customHeight="1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</row>
  </sheetData>
  <mergeCells count="2">
    <mergeCell ref="B3:B6"/>
    <mergeCell ref="B8:B11"/>
  </mergeCells>
  <conditionalFormatting sqref="D4:L4">
    <cfRule type="expression" dxfId="0" priority="1">
      <formula>D4=SMALL($D$4:$L$4,1)</formula>
    </cfRule>
  </conditionalFormatting>
  <conditionalFormatting sqref="D4:L4">
    <cfRule type="expression" dxfId="1" priority="2">
      <formula>D4=SMALL($D$4:$L$4,COUNTIF($D$4:$L$4,MIN($D$4:$L$4))+1)</formula>
    </cfRule>
  </conditionalFormatting>
  <conditionalFormatting sqref="D4:L4">
    <cfRule type="expression" dxfId="2" priority="3">
      <formula>D4=SMALL($D$4:$L$4,COUNTIF($D$4:$L$4,MIN($D$4:$L$4))+COUNTIF($D$4:$L$4,SMALL($D$4:$L$4,COUNTIF($D$4:$L$4,MIN($D$4:$L$4))+1))+1)</formula>
    </cfRule>
  </conditionalFormatting>
  <conditionalFormatting sqref="D4:L4">
    <cfRule type="expression" dxfId="3" priority="4">
      <formula>D4=SMALL($D$4:$L$4,COUNTIF($D$4:$L$4,MIN($D$4:$L$4))+COUNTIF($D$4:$L$4,SMALL($D$4:$L$4,COUNTIF($D$4:$L$4,MIN($D$4:$L$4))+1))+COUNTIF($D$4:$L$4,SMALL($D$4:$L$4,COUNTIF($D$4:$L$4,MIN($D$4:$L$4))+COUNTIF($D$4:$L$4,SMALL($D$4:$L$4,COUNTIF($D$4:$L$4,MIN($D$4:$L$4))+1))+1))+1)</formula>
    </cfRule>
  </conditionalFormatting>
  <conditionalFormatting sqref="D4:L4">
    <cfRule type="expression" dxfId="4" priority="5">
      <formula>D4=SMALL($D$4:$L$4,COUNTIF($D$4:$L$4,MIN($D$4:$L$4))+COUNTIF($D$4:$L$4,SMALL($D$4:$L$4,COUNTIF($D$4:$L$4,MIN($D$4:$L$4))+1))+COUNTIF($D$4:$L$4,SMALL($D$4:$L$4,COUNTIF($D$4:$L$4,MIN($D$4:$L$4))+COUNTIF($D$4:$L$4,SMALL($D$4:$L$4,COUNTIF($D$4:$L$4,MIN($D$4:$L$4))+1))+1))+COUNTIF($D$4:$L$4,SMALL($D$4:$L$4,COUNTIF($D$4:$L$4,MIN($D$4:$L$4))+COUNTIF($D$4:$L$4,SMALL($D$4:$L$4,COUNTIF($D$4:$L$4,MIN($D$4:$L$4))+1))+COUNTIF($D$4:$L$4,SMALL($D$4:$L$4,COUNTIF($D$4:$L$4,MIN($D$4:$L$4))+COUNTIF($D$4:$L$4,SMALL($D$4:$L$4,COUNTIF($D$4:$L$4,MIN($D$4:$L$4))+1))+1))+1))+1)</formula>
    </cfRule>
  </conditionalFormatting>
  <conditionalFormatting sqref="D5:L5">
    <cfRule type="expression" dxfId="0" priority="6">
      <formula>D5=SMALL($D$5:$L$5,1)</formula>
    </cfRule>
  </conditionalFormatting>
  <conditionalFormatting sqref="D5:L5">
    <cfRule type="expression" dxfId="1" priority="7">
      <formula>D5=SMALL($D$5:$L$5,COUNTIF($D$5:$L$5,MIN($D$5:$L$5))+1)</formula>
    </cfRule>
  </conditionalFormatting>
  <conditionalFormatting sqref="D5:L5">
    <cfRule type="expression" dxfId="2" priority="8">
      <formula>D5=SMALL($D$5:$L$5,COUNTIF($D$5:$L$5,MIN($D$5:$L$5))+COUNTIF($D$5:$L$5,SMALL($D$5:$L$5,COUNTIF($D$5:$L$5,MIN($D$5:$L$5))+1))+1)</formula>
    </cfRule>
  </conditionalFormatting>
  <conditionalFormatting sqref="D5:L5">
    <cfRule type="expression" dxfId="3" priority="9">
      <formula>D5=SMALL($D$5:$L$5,COUNTIF($D$5:$L$5,MIN($D$5:$L$5))+COUNTIF($D$5:$L$5,SMALL($D$5:$L$5,COUNTIF($D$5:$L$5,MIN($D$5:$L$5))+1))+COUNTIF($D$5:$L$5,SMALL($D$5:$L$5,COUNTIF($D$5:$L$5,MIN($D$5:$L$5))+COUNTIF($D$5:$L$5,SMALL($D$5:$L$5,COUNTIF($D$5:$L$5,MIN($D$5:$L$5))+1))+1))+1)</formula>
    </cfRule>
  </conditionalFormatting>
  <conditionalFormatting sqref="D5:L5">
    <cfRule type="expression" dxfId="4" priority="10">
      <formula>D5=SMALL($D$5:$L$5,COUNTIF($D$5:$L$5,MIN($D$5:$L$5))+COUNTIF($D$5:$L$5,SMALL($D$5:$L$5,COUNTIF($D$5:$L$5,MIN($D$5:$L$5))+1))+COUNTIF($D$5:$L$5,SMALL($D$5:$L$5,COUNTIF($D$5:$L$5,MIN($D$5:$L$5))+COUNTIF($D$5:$L$5,SMALL($D$5:$L$5,COUNTIF($D$5:$L$5,MIN($D$5:$L$5))+1))+1))+COUNTIF($D$5:$L$5,SMALL($D$5:$L$5,COUNTIF($D$5:$L$5,MIN($D$5:$L$5))+COUNTIF($D$5:$L$5,SMALL($D$5:$L$5,COUNTIF($D$5:$L$5,MIN($D$5:$L$5))+1))+COUNTIF($D$5:$L$5,SMALL($D$5:$L$5,COUNTIF($D$5:$L$5,MIN($D$5:$L$5))+COUNTIF($D$5:$L$5,SMALL($D$5:$L$5,COUNTIF($D$5:$L$5,MIN($D$5:$L$5))+1))+1))+1))+1)</formula>
    </cfRule>
  </conditionalFormatting>
  <conditionalFormatting sqref="D6:L6">
    <cfRule type="expression" dxfId="0" priority="11">
      <formula>D6=SMALL($D$6:$L$6,1)</formula>
    </cfRule>
  </conditionalFormatting>
  <conditionalFormatting sqref="D6:L6">
    <cfRule type="expression" dxfId="1" priority="12">
      <formula>D6=SMALL($D$6:$L$6,COUNTIF($D$6:$L$6,MIN($D$6:$L$6))+1)</formula>
    </cfRule>
  </conditionalFormatting>
  <conditionalFormatting sqref="D6:L6">
    <cfRule type="expression" dxfId="2" priority="13">
      <formula>D6=SMALL($D$6:$L$6,COUNTIF($D$6:$L$6,MIN($D$6:$L$6))+COUNTIF($D$6:$L$6,SMALL($D$6:$L$6,COUNTIF($D$6:$L$6,MIN($D$6:$L$6))+1))+1)</formula>
    </cfRule>
  </conditionalFormatting>
  <conditionalFormatting sqref="D6:L6">
    <cfRule type="expression" dxfId="3" priority="14">
      <formula>D6=SMALL($D$6:$L$6,COUNTIF($D$6:$L$6,MIN($D$6:$L$6))+COUNTIF($D$6:$L$6,SMALL($D$6:$L$6,COUNTIF($D$6:$L$6,MIN($D$6:$L$6))+1))+COUNTIF($D$6:$L$6,SMALL($D$6:$L$6,COUNTIF($D$6:$L$6,MIN($D$6:$L$6))+COUNTIF($D$6:$L$6,SMALL($D$6:$L$6,COUNTIF($D$6:$L$6,MIN($D$6:$L$6))+1))+1))+1)</formula>
    </cfRule>
  </conditionalFormatting>
  <conditionalFormatting sqref="D6:L6">
    <cfRule type="expression" dxfId="4" priority="15">
      <formula>D6=SMALL($D$6:$L$6,COUNTIF($D$6:$L$6,MIN($D$6:$L$6))+COUNTIF($D$6:$L$6,SMALL($D$6:$L$6,COUNTIF($D$6:$L$6,MIN($D$6:$L$6))+1))+COUNTIF($D$6:$L$6,SMALL($D$6:$L$6,COUNTIF($D$6:$L$6,MIN($D$6:$L$6))+COUNTIF($D$6:$L$6,SMALL($D$6:$L$6,COUNTIF($D$6:$L$6,MIN($D$6:$L$6))+1))+1))+COUNTIF($D$6:$L$6,SMALL($D$6:$L$6,COUNTIF($D$6:$L$6,MIN($D$6:$L$6))+COUNTIF($D$6:$L$6,SMALL($D$6:$L$6,COUNTIF($D$6:$L$6,MIN($D$6:$L$6))+1))+COUNTIF($D$6:$L$6,SMALL($D$6:$L$6,COUNTIF($D$6:$L$6,MIN($D$6:$L$6))+COUNTIF($D$6:$L$6,SMALL($D$6:$L$6,COUNTIF($D$6:$L$6,MIN($D$6:$L$6))+1))+1))+1))+1)</formula>
    </cfRule>
  </conditionalFormatting>
  <conditionalFormatting sqref="A1">
    <cfRule type="notContainsBlanks" dxfId="7" priority="16">
      <formula>LEN(TRIM(A1))&gt;0</formula>
    </cfRule>
  </conditionalFormatting>
  <drawing r:id="rId1"/>
</worksheet>
</file>
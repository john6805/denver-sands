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Leaderboard" sheetId="2" r:id="rId6"/>
    <sheet state="visible" name="Weekly Point Data" sheetId="3" r:id="rId7"/>
    <sheet state="visible" name="Match Generator" sheetId="4" r:id="rId8"/>
    <sheet state="hidden" name="0512 Match Generator" sheetId="5" r:id="rId9"/>
    <sheet state="visible" name="Scoring Rules" sheetId="6" r:id="rId10"/>
    <sheet state="hidden" name="Example Leaderboard" sheetId="7" r:id="rId11"/>
    <sheet state="hidden" name="Example Weekly Point Data" sheetId="8" r:id="rId12"/>
    <sheet state="hidden" name="Weekly Points" sheetId="9" r:id="rId13"/>
    <sheet state="hidden" name="Stroke &amp; Putt History" sheetId="10" r:id="rId14"/>
  </sheets>
  <definedNames>
    <definedName hidden="1" localSheetId="1" name="_xlnm._FilterDatabase">Leaderboard!$G$3:$K$14</definedName>
    <definedName hidden="1" localSheetId="2" name="_xlnm._FilterDatabase">'Weekly Point Data'!$A$2:$S$33</definedName>
    <definedName hidden="1" localSheetId="3" name="_xlnm._FilterDatabase">'Match Generator'!$B$35:$D$46</definedName>
    <definedName hidden="1" localSheetId="4" name="_xlnm._FilterDatabase">'0512 Match Generator'!$B$46:$D$57</definedName>
    <definedName hidden="1" localSheetId="6" name="_xlnm._FilterDatabase">'Example Leaderboard'!$C$3:$D$15</definedName>
    <definedName hidden="1" localSheetId="7" name="_xlnm._FilterDatabase">'Example Weekly Point Data'!$A$2:$Q$20</definedName>
  </definedNames>
  <calcPr/>
</workbook>
</file>

<file path=xl/sharedStrings.xml><?xml version="1.0" encoding="utf-8"?>
<sst xmlns="http://schemas.openxmlformats.org/spreadsheetml/2006/main" count="624" uniqueCount="123">
  <si>
    <t>Date</t>
  </si>
  <si>
    <t>Course</t>
  </si>
  <si>
    <t>Time 1</t>
  </si>
  <si>
    <t>Time 2</t>
  </si>
  <si>
    <t>Time 3</t>
  </si>
  <si>
    <t>Fossil Trace</t>
  </si>
  <si>
    <t>n/a</t>
  </si>
  <si>
    <t>Overland</t>
  </si>
  <si>
    <t>Broken Tee</t>
  </si>
  <si>
    <t>IndianTree</t>
  </si>
  <si>
    <t>Leaderboard</t>
  </si>
  <si>
    <t>Pos.</t>
  </si>
  <si>
    <t>Golfer</t>
  </si>
  <si>
    <t>Points</t>
  </si>
  <si>
    <t>Behind</t>
  </si>
  <si>
    <t>Points + Beer Points</t>
  </si>
  <si>
    <t>Match Wins</t>
  </si>
  <si>
    <t>Blank Weeks</t>
  </si>
  <si>
    <t>Lowest Score</t>
  </si>
  <si>
    <t>Zach</t>
  </si>
  <si>
    <t>Bird</t>
  </si>
  <si>
    <t>Joe</t>
  </si>
  <si>
    <t>Bryan</t>
  </si>
  <si>
    <t>GT</t>
  </si>
  <si>
    <t>Joey</t>
  </si>
  <si>
    <t>John</t>
  </si>
  <si>
    <t>Brandt</t>
  </si>
  <si>
    <t>Hunter</t>
  </si>
  <si>
    <t>Jared</t>
  </si>
  <si>
    <t>Stefan</t>
  </si>
  <si>
    <t>Weekly Details</t>
  </si>
  <si>
    <t>Match Details</t>
  </si>
  <si>
    <t>Point Details</t>
  </si>
  <si>
    <t>Total</t>
  </si>
  <si>
    <t>Week</t>
  </si>
  <si>
    <t>Showed</t>
  </si>
  <si>
    <t>Beers</t>
  </si>
  <si>
    <t>Paid</t>
  </si>
  <si>
    <t>Partner</t>
  </si>
  <si>
    <t>Match Result</t>
  </si>
  <si>
    <t>HC</t>
  </si>
  <si>
    <t>Gross
Score</t>
  </si>
  <si>
    <t>Putts</t>
  </si>
  <si>
    <t>Net 
Score</t>
  </si>
  <si>
    <t>Showing Up Points</t>
  </si>
  <si>
    <t>Match Points</t>
  </si>
  <si>
    <t>Gross Points</t>
  </si>
  <si>
    <t>Net Points</t>
  </si>
  <si>
    <t>Putt Points</t>
  </si>
  <si>
    <t>W02</t>
  </si>
  <si>
    <t>unk</t>
  </si>
  <si>
    <t>-</t>
  </si>
  <si>
    <t>W01</t>
  </si>
  <si>
    <t>Confirmed</t>
  </si>
  <si>
    <t>Yes</t>
  </si>
  <si>
    <t>Won</t>
  </si>
  <si>
    <t>Tied</t>
  </si>
  <si>
    <t>Lost</t>
  </si>
  <si>
    <t>No</t>
  </si>
  <si>
    <t>5/19 Weekly Matches
Indian Tree</t>
  </si>
  <si>
    <t>1v1v1 strokes given 
for match play</t>
  </si>
  <si>
    <t>2v2</t>
  </si>
  <si>
    <t>vs.</t>
  </si>
  <si>
    <t>Strokes</t>
  </si>
  <si>
    <t>Team Handicap:</t>
  </si>
  <si>
    <t>1v1</t>
  </si>
  <si>
    <t>1v1v1</t>
  </si>
  <si>
    <t>gives:</t>
  </si>
  <si>
    <t>strokes</t>
  </si>
  <si>
    <t>https://wheelofnames.com</t>
  </si>
  <si>
    <t>Link</t>
  </si>
  <si>
    <t>Rank</t>
  </si>
  <si>
    <t>Indian Tree</t>
  </si>
  <si>
    <t>https://indiantree.cps.golf/onlineresweb/search-teetime?TeeOffTimeMin=0&amp;TeeOffTimeMax=23</t>
  </si>
  <si>
    <t>A</t>
  </si>
  <si>
    <t>Fox Hollow</t>
  </si>
  <si>
    <t>https://app.membersports.com/tee-times/3703/20589/0</t>
  </si>
  <si>
    <t>West Woods</t>
  </si>
  <si>
    <t>Willis Case</t>
  </si>
  <si>
    <t>https://app.membersports.com/tee-times/3629/20573/1</t>
  </si>
  <si>
    <t>https://fossiltrace.cps.golf/onlineresweb/search-teetime?TeeOffTimeMin=0&amp;TeeOffTimeMax=23.999722222222225</t>
  </si>
  <si>
    <t>Legacy Ridge</t>
  </si>
  <si>
    <t>https://cityofwestminster.cps.golf/onlineresweb/search-teetime?TeeOffTimeMin=0&amp;TeeOffTimeMax=23</t>
  </si>
  <si>
    <t>Walnut Creet</t>
  </si>
  <si>
    <t>Foothills</t>
  </si>
  <si>
    <t>https://app.membersports.com/tee-times/3697/4758/0</t>
  </si>
  <si>
    <t>GVR</t>
  </si>
  <si>
    <t>https://greenvalleyranch.cps.golf/onlineresweb/search-teetime?TeeOffTimeMin=0&amp;TeeOffTimeMax=23</t>
  </si>
  <si>
    <t>Heather Ridge</t>
  </si>
  <si>
    <t>https://heatherridge.ezlinksgolf.com/index.html#/search</t>
  </si>
  <si>
    <t>Homestead</t>
  </si>
  <si>
    <t>https://app.membersports.com/tee-times/3807/4902/0</t>
  </si>
  <si>
    <t>5/12 Weekly Matches</t>
  </si>
  <si>
    <t>https://docs.google.com/document/d/1zjUmxKJ9ZaPkMGQOF_XHnWdDfx2B-lGk6ijITGp1UqQ/edit?tab=t.0</t>
  </si>
  <si>
    <t>Gross Strokes</t>
  </si>
  <si>
    <t>Net Strokes</t>
  </si>
  <si>
    <t>Showing Up</t>
  </si>
  <si>
    <t>No Show</t>
  </si>
  <si>
    <t>Match Play</t>
  </si>
  <si>
    <t>Wiiners</t>
  </si>
  <si>
    <t>6+</t>
  </si>
  <si>
    <t>Tie</t>
  </si>
  <si>
    <t>Losers</t>
  </si>
  <si>
    <t>Golfers</t>
  </si>
  <si>
    <t>Cal</t>
  </si>
  <si>
    <t xml:space="preserve">Example Leaderboard		</t>
  </si>
  <si>
    <t>Bragging Rights</t>
  </si>
  <si>
    <t>No Shows</t>
  </si>
  <si>
    <t>Handi
cap</t>
  </si>
  <si>
    <t>ExW1</t>
  </si>
  <si>
    <t>Handicap</t>
  </si>
  <si>
    <t>ExW2</t>
  </si>
  <si>
    <t>City Park</t>
  </si>
  <si>
    <t>Point
Category</t>
  </si>
  <si>
    <t>Example
Week</t>
  </si>
  <si>
    <t xml:space="preserve">Match Play </t>
  </si>
  <si>
    <t>Totals</t>
  </si>
  <si>
    <t>Week 1
05/05</t>
  </si>
  <si>
    <t xml:space="preserve"> </t>
  </si>
  <si>
    <t>Detail</t>
  </si>
  <si>
    <t>Example Week</t>
  </si>
  <si>
    <t>Gross Score</t>
  </si>
  <si>
    <t>Net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</si>
</sst>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&quot;, &quot;mmm&quot; &quot;dd&quot; &quot;"/>
    <numFmt numFmtId="165" formatCode="h&quot;:&quot;mm&quot; &quot;am/pm"/>
    <numFmt numFmtId="166" formatCode="h:mm am/pm"/>
    <numFmt numFmtId="167" formatCode="&quot; &quot;mm&quot;/&quot;dd&quot; &quot;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8.0"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E6B8AF"/>
      <name val="Arial"/>
    </font>
    <font>
      <color rgb="FFFFFFFF"/>
      <name val="Arial"/>
    </font>
    <font>
      <b/>
      <sz val="20.0"/>
      <color rgb="FFFFFFFF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b/>
      <sz val="16.0"/>
      <color rgb="FFFFFFFF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sz val="13.0"/>
      <color theme="1"/>
      <name val="Arial"/>
      <scheme val="minor"/>
    </font>
    <font>
      <color rgb="FFEFEFEF"/>
      <name val="Arial"/>
      <scheme val="minor"/>
    </font>
    <font>
      <u/>
      <color rgb="FFEFEFEF"/>
    </font>
  </fonts>
  <fills count="2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5B0F00"/>
        <bgColor rgb="FF5B0F00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hair">
        <color rgb="FF000000"/>
      </bottom>
    </border>
    <border>
      <bottom style="hair">
        <color rgb="FF000000"/>
      </bottom>
    </border>
    <border>
      <right style="thick">
        <color rgb="FF000000"/>
      </right>
      <bottom style="hair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right style="thin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0" fontId="2" numFmtId="164" xfId="0" applyBorder="1" applyFont="1" applyNumberFormat="1"/>
    <xf borderId="7" fillId="0" fontId="2" numFmtId="0" xfId="0" applyBorder="1" applyFont="1"/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0" fillId="2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12" fillId="4" fontId="5" numFmtId="0" xfId="0" applyAlignment="1" applyBorder="1" applyFill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2" numFmtId="167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/>
    </xf>
    <xf borderId="0" fillId="3" fontId="7" numFmtId="167" xfId="0" applyAlignment="1" applyFont="1" applyNumberFormat="1">
      <alignment horizontal="center"/>
    </xf>
    <xf borderId="0" fillId="3" fontId="7" numFmtId="0" xfId="0" applyAlignment="1" applyFont="1">
      <alignment horizontal="center"/>
    </xf>
    <xf borderId="5" fillId="3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5" fillId="0" fontId="7" numFmtId="0" xfId="0" applyAlignment="1" applyBorder="1" applyFont="1">
      <alignment horizontal="center"/>
    </xf>
    <xf borderId="0" fillId="5" fontId="7" numFmtId="0" xfId="0" applyAlignment="1" applyFill="1" applyFont="1">
      <alignment horizontal="center"/>
    </xf>
    <xf borderId="0" fillId="6" fontId="8" numFmtId="0" xfId="0" applyAlignment="1" applyFill="1" applyFont="1">
      <alignment horizontal="center"/>
    </xf>
    <xf borderId="13" fillId="4" fontId="9" numFmtId="0" xfId="0" applyAlignment="1" applyBorder="1" applyFont="1">
      <alignment horizontal="center"/>
    </xf>
    <xf borderId="5" fillId="2" fontId="7" numFmtId="0" xfId="0" applyBorder="1" applyFont="1"/>
    <xf borderId="0" fillId="7" fontId="7" numFmtId="0" xfId="0" applyAlignment="1" applyFill="1" applyFont="1">
      <alignment horizontal="center"/>
    </xf>
    <xf borderId="13" fillId="6" fontId="8" numFmtId="0" xfId="0" applyAlignment="1" applyBorder="1" applyFont="1">
      <alignment horizontal="center"/>
    </xf>
    <xf borderId="4" fillId="3" fontId="2" numFmtId="0" xfId="0" applyAlignment="1" applyBorder="1" applyFont="1">
      <alignment horizontal="center" readingOrder="0" vertical="center"/>
    </xf>
    <xf borderId="0" fillId="3" fontId="2" numFmtId="167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13" fillId="4" fontId="6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7" fillId="3" fontId="2" numFmtId="167" xfId="0" applyAlignment="1" applyBorder="1" applyFont="1" applyNumberForma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8" fontId="0" numFmtId="0" xfId="0" applyAlignment="1" applyFill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0" fillId="8" fontId="0" numFmtId="0" xfId="0" applyAlignment="1" applyFont="1">
      <alignment horizontal="center" vertical="center"/>
    </xf>
    <xf borderId="0" fillId="8" fontId="11" numFmtId="0" xfId="0" applyAlignment="1" applyFont="1">
      <alignment horizontal="center" readingOrder="0" vertical="center"/>
    </xf>
    <xf borderId="1" fillId="8" fontId="10" numFmtId="0" xfId="0" applyAlignment="1" applyBorder="1" applyFont="1">
      <alignment horizontal="center" readingOrder="0" vertical="center"/>
    </xf>
    <xf borderId="0" fillId="9" fontId="12" numFmtId="0" xfId="0" applyAlignment="1" applyFill="1" applyFont="1">
      <alignment horizontal="center" readingOrder="0" vertical="center"/>
    </xf>
    <xf borderId="0" fillId="9" fontId="12" numFmtId="0" xfId="0" applyAlignment="1" applyFont="1">
      <alignment horizontal="center" vertical="center"/>
    </xf>
    <xf borderId="0" fillId="9" fontId="2" numFmtId="0" xfId="0" applyFont="1"/>
    <xf borderId="0" fillId="9" fontId="2" numFmtId="0" xfId="0" applyFont="1"/>
    <xf borderId="0" fillId="9" fontId="13" numFmtId="0" xfId="0" applyAlignment="1" applyFont="1">
      <alignment horizontal="center" readingOrder="0" vertical="center"/>
    </xf>
    <xf borderId="1" fillId="4" fontId="13" numFmtId="0" xfId="0" applyAlignment="1" applyBorder="1" applyFont="1">
      <alignment horizontal="center" readingOrder="0" vertical="center"/>
    </xf>
    <xf borderId="15" fillId="10" fontId="14" numFmtId="0" xfId="0" applyAlignment="1" applyBorder="1" applyFill="1" applyFont="1">
      <alignment horizontal="center" readingOrder="0" vertical="center"/>
    </xf>
    <xf borderId="16" fillId="10" fontId="14" numFmtId="0" xfId="0" applyAlignment="1" applyBorder="1" applyFont="1">
      <alignment horizontal="center" readingOrder="0" vertical="center"/>
    </xf>
    <xf borderId="13" fillId="11" fontId="14" numFmtId="0" xfId="0" applyAlignment="1" applyBorder="1" applyFill="1" applyFont="1">
      <alignment horizontal="center" readingOrder="0" vertical="center"/>
    </xf>
    <xf borderId="16" fillId="12" fontId="14" numFmtId="0" xfId="0" applyAlignment="1" applyBorder="1" applyFill="1" applyFont="1">
      <alignment horizontal="center" readingOrder="0" vertical="center"/>
    </xf>
    <xf borderId="17" fillId="12" fontId="14" numFmtId="0" xfId="0" applyAlignment="1" applyBorder="1" applyFont="1">
      <alignment horizontal="center" readingOrder="0" vertical="center"/>
    </xf>
    <xf borderId="4" fillId="13" fontId="12" numFmtId="0" xfId="0" applyAlignment="1" applyBorder="1" applyFill="1" applyFont="1">
      <alignment horizontal="center" readingOrder="0" vertical="center"/>
    </xf>
    <xf borderId="0" fillId="13" fontId="12" numFmtId="0" xfId="0" applyAlignment="1" applyFont="1">
      <alignment horizontal="center" readingOrder="0" vertical="center"/>
    </xf>
    <xf borderId="13" fillId="11" fontId="15" numFmtId="0" xfId="0" applyAlignment="1" applyBorder="1" applyFont="1">
      <alignment horizontal="center" readingOrder="0" vertical="center"/>
    </xf>
    <xf borderId="0" fillId="7" fontId="12" numFmtId="0" xfId="0" applyAlignment="1" applyFont="1">
      <alignment horizontal="center" readingOrder="0" vertical="center"/>
    </xf>
    <xf borderId="5" fillId="7" fontId="12" numFmtId="0" xfId="0" applyAlignment="1" applyBorder="1" applyFont="1">
      <alignment horizontal="center" readingOrder="0" vertical="center"/>
    </xf>
    <xf borderId="6" fillId="13" fontId="12" numFmtId="0" xfId="0" applyAlignment="1" applyBorder="1" applyFont="1">
      <alignment horizontal="center" readingOrder="0" vertical="center"/>
    </xf>
    <xf borderId="7" fillId="13" fontId="12" numFmtId="0" xfId="0" applyAlignment="1" applyBorder="1" applyFont="1">
      <alignment horizontal="center" readingOrder="0" vertical="center"/>
    </xf>
    <xf borderId="14" fillId="11" fontId="12" numFmtId="0" xfId="0" applyAlignment="1" applyBorder="1" applyFont="1">
      <alignment horizontal="center" readingOrder="0" vertical="center"/>
    </xf>
    <xf borderId="7" fillId="7" fontId="12" numFmtId="0" xfId="0" applyAlignment="1" applyBorder="1" applyFont="1">
      <alignment horizontal="center" readingOrder="0" vertical="center"/>
    </xf>
    <xf borderId="8" fillId="7" fontId="12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8" fillId="11" fontId="2" numFmtId="0" xfId="0" applyAlignment="1" applyBorder="1" applyFont="1">
      <alignment horizontal="right" readingOrder="0"/>
    </xf>
    <xf borderId="19" fillId="11" fontId="2" numFmtId="0" xfId="0" applyAlignment="1" applyBorder="1" applyFont="1">
      <alignment horizontal="left" readingOrder="0"/>
    </xf>
    <xf borderId="20" fillId="11" fontId="2" numFmtId="0" xfId="0" applyAlignment="1" applyBorder="1" applyFont="1">
      <alignment horizontal="center"/>
    </xf>
    <xf borderId="0" fillId="9" fontId="2" numFmtId="0" xfId="0" applyAlignment="1" applyFont="1">
      <alignment readingOrder="0"/>
    </xf>
    <xf borderId="16" fillId="14" fontId="14" numFmtId="0" xfId="0" applyAlignment="1" applyBorder="1" applyFill="1" applyFont="1">
      <alignment horizontal="center" readingOrder="0" vertical="center"/>
    </xf>
    <xf borderId="4" fillId="11" fontId="2" numFmtId="0" xfId="0" applyAlignment="1" applyBorder="1" applyFont="1">
      <alignment horizontal="right" readingOrder="0"/>
    </xf>
    <xf borderId="0" fillId="11" fontId="2" numFmtId="0" xfId="0" applyAlignment="1" applyFont="1">
      <alignment horizontal="center"/>
    </xf>
    <xf borderId="5" fillId="11" fontId="2" numFmtId="0" xfId="0" applyAlignment="1" applyBorder="1" applyFont="1">
      <alignment horizontal="left" readingOrder="0"/>
    </xf>
    <xf borderId="20" fillId="11" fontId="2" numFmtId="0" xfId="0" applyAlignment="1" applyBorder="1" applyFont="1">
      <alignment readingOrder="0"/>
    </xf>
    <xf borderId="14" fillId="0" fontId="3" numFmtId="0" xfId="0" applyBorder="1" applyFont="1"/>
    <xf borderId="7" fillId="5" fontId="12" numFmtId="0" xfId="0" applyAlignment="1" applyBorder="1" applyFont="1">
      <alignment horizontal="center" readingOrder="0" vertical="center"/>
    </xf>
    <xf borderId="6" fillId="11" fontId="2" numFmtId="0" xfId="0" applyAlignment="1" applyBorder="1" applyFont="1">
      <alignment horizontal="right" readingOrder="0"/>
    </xf>
    <xf borderId="7" fillId="11" fontId="2" numFmtId="0" xfId="0" applyAlignment="1" applyBorder="1" applyFont="1">
      <alignment horizontal="center"/>
    </xf>
    <xf borderId="8" fillId="11" fontId="2" numFmtId="0" xfId="0" applyAlignment="1" applyBorder="1" applyFont="1">
      <alignment horizontal="left" readingOrder="0"/>
    </xf>
    <xf borderId="0" fillId="0" fontId="12" numFmtId="0" xfId="0" applyAlignment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2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vertical="center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" numFmtId="0" xfId="0" applyAlignment="1" applyFont="1">
      <alignment shrinkToFit="0" wrapText="0"/>
    </xf>
    <xf borderId="1" fillId="4" fontId="13" numFmtId="166" xfId="0" applyAlignment="1" applyBorder="1" applyFont="1" applyNumberFormat="1">
      <alignment horizontal="center" readingOrder="0" vertical="center"/>
    </xf>
    <xf borderId="18" fillId="15" fontId="2" numFmtId="0" xfId="0" applyAlignment="1" applyBorder="1" applyFill="1" applyFont="1">
      <alignment horizontal="right" readingOrder="0"/>
    </xf>
    <xf borderId="19" fillId="15" fontId="2" numFmtId="0" xfId="0" applyAlignment="1" applyBorder="1" applyFont="1">
      <alignment horizontal="left" readingOrder="0"/>
    </xf>
    <xf borderId="20" fillId="15" fontId="2" numFmtId="0" xfId="0" applyAlignment="1" applyBorder="1" applyFont="1">
      <alignment horizontal="center"/>
    </xf>
    <xf borderId="13" fillId="11" fontId="19" numFmtId="0" xfId="0" applyAlignment="1" applyBorder="1" applyFont="1">
      <alignment horizontal="center" readingOrder="0" vertical="center"/>
    </xf>
    <xf borderId="4" fillId="15" fontId="2" numFmtId="0" xfId="0" applyAlignment="1" applyBorder="1" applyFont="1">
      <alignment horizontal="right" readingOrder="0"/>
    </xf>
    <xf borderId="0" fillId="15" fontId="2" numFmtId="0" xfId="0" applyAlignment="1" applyFont="1">
      <alignment horizontal="center"/>
    </xf>
    <xf borderId="5" fillId="15" fontId="2" numFmtId="0" xfId="0" applyAlignment="1" applyBorder="1" applyFont="1">
      <alignment horizontal="left" readingOrder="0"/>
    </xf>
    <xf borderId="20" fillId="15" fontId="2" numFmtId="0" xfId="0" applyAlignment="1" applyBorder="1" applyFont="1">
      <alignment readingOrder="0"/>
    </xf>
    <xf borderId="6" fillId="15" fontId="2" numFmtId="0" xfId="0" applyAlignment="1" applyBorder="1" applyFont="1">
      <alignment horizontal="right" readingOrder="0"/>
    </xf>
    <xf borderId="7" fillId="15" fontId="2" numFmtId="0" xfId="0" applyAlignment="1" applyBorder="1" applyFont="1">
      <alignment horizontal="center"/>
    </xf>
    <xf borderId="8" fillId="15" fontId="2" numFmtId="0" xfId="0" applyAlignment="1" applyBorder="1" applyFont="1">
      <alignment horizontal="left" readingOrder="0"/>
    </xf>
    <xf borderId="0" fillId="2" fontId="2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horizontal="center" readingOrder="0" shrinkToFit="0" vertical="center" wrapText="0"/>
    </xf>
    <xf borderId="21" fillId="3" fontId="2" numFmtId="0" xfId="0" applyAlignment="1" applyBorder="1" applyFont="1">
      <alignment horizontal="center" readingOrder="0" shrinkToFit="0" vertical="center" wrapText="1"/>
    </xf>
    <xf borderId="22" fillId="3" fontId="2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24" fillId="5" fontId="2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5" fillId="5" fontId="2" numFmtId="0" xfId="0" applyAlignment="1" applyBorder="1" applyFont="1">
      <alignment horizontal="center" readingOrder="0" shrinkToFit="0" vertical="center" wrapText="1"/>
    </xf>
    <xf borderId="24" fillId="3" fontId="2" numFmtId="0" xfId="0" applyAlignment="1" applyBorder="1" applyFont="1">
      <alignment horizontal="center" readingOrder="0" shrinkToFit="0" vertical="center" wrapText="1"/>
    </xf>
    <xf borderId="24" fillId="7" fontId="2" numFmtId="0" xfId="0" applyAlignment="1" applyBorder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5" fillId="7" fontId="2" numFmtId="0" xfId="0" applyAlignment="1" applyBorder="1" applyFont="1">
      <alignment horizontal="center" readingOrder="0" shrinkToFit="0" vertical="center" wrapText="1"/>
    </xf>
    <xf borderId="25" fillId="3" fontId="2" numFmtId="0" xfId="0" applyAlignment="1" applyBorder="1" applyFont="1">
      <alignment horizontal="center" readingOrder="0" shrinkToFit="0" vertical="center" wrapText="1"/>
    </xf>
    <xf borderId="8" fillId="6" fontId="6" numFmtId="0" xfId="0" applyAlignment="1" applyBorder="1" applyFont="1">
      <alignment horizontal="center" readingOrder="0" shrinkToFit="0" vertical="center" wrapText="1"/>
    </xf>
    <xf borderId="24" fillId="16" fontId="2" numFmtId="0" xfId="0" applyAlignment="1" applyBorder="1" applyFill="1" applyFont="1">
      <alignment horizontal="center" readingOrder="0" shrinkToFit="0" vertical="center" wrapText="1"/>
    </xf>
    <xf borderId="0" fillId="16" fontId="2" numFmtId="0" xfId="0" applyAlignment="1" applyFont="1">
      <alignment horizontal="center" readingOrder="0" shrinkToFit="0" vertical="center" wrapText="1"/>
    </xf>
    <xf borderId="5" fillId="16" fontId="2" numFmtId="0" xfId="0" applyAlignment="1" applyBorder="1" applyFont="1">
      <alignment horizontal="center" readingOrder="0" shrinkToFit="0" vertical="center" wrapText="1"/>
    </xf>
    <xf borderId="24" fillId="11" fontId="2" numFmtId="0" xfId="0" applyAlignment="1" applyBorder="1" applyFont="1">
      <alignment horizontal="center" readingOrder="0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5" fillId="11" fontId="2" numFmtId="0" xfId="0" applyAlignment="1" applyBorder="1" applyFont="1">
      <alignment horizontal="center" readingOrder="0" shrinkToFit="0" vertical="center" wrapText="1"/>
    </xf>
    <xf borderId="24" fillId="17" fontId="2" numFmtId="0" xfId="0" applyAlignment="1" applyBorder="1" applyFill="1" applyFont="1">
      <alignment horizontal="center" readingOrder="0" shrinkToFit="0" vertical="center" wrapText="1"/>
    </xf>
    <xf borderId="0" fillId="17" fontId="2" numFmtId="0" xfId="0" applyAlignment="1" applyFont="1">
      <alignment horizontal="center" readingOrder="0" shrinkToFit="0" vertical="center" wrapText="1"/>
    </xf>
    <xf borderId="25" fillId="6" fontId="6" numFmtId="0" xfId="0" applyAlignment="1" applyBorder="1" applyFont="1">
      <alignment horizontal="center" readingOrder="0" shrinkToFit="0" vertical="center" wrapText="1"/>
    </xf>
    <xf borderId="7" fillId="6" fontId="6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1" fillId="18" fontId="1" numFmtId="0" xfId="0" applyAlignment="1" applyBorder="1" applyFill="1" applyFont="1">
      <alignment horizontal="center" readingOrder="0" shrinkToFit="0" vertical="center" wrapText="1"/>
    </xf>
    <xf borderId="4" fillId="19" fontId="2" numFmtId="0" xfId="0" applyAlignment="1" applyBorder="1" applyFill="1" applyFont="1">
      <alignment horizontal="center" readingOrder="0" shrinkToFit="0" vertical="center" wrapText="1"/>
    </xf>
    <xf borderId="0" fillId="19" fontId="2" numFmtId="0" xfId="0" applyAlignment="1" applyFont="1">
      <alignment horizontal="center" readingOrder="0" shrinkToFit="0" vertical="center" wrapText="1"/>
    </xf>
    <xf borderId="5" fillId="19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wrapText="1"/>
    </xf>
    <xf borderId="6" fillId="19" fontId="2" numFmtId="0" xfId="0" applyAlignment="1" applyBorder="1" applyFont="1">
      <alignment horizontal="center" readingOrder="0" shrinkToFit="0" vertical="center" wrapText="1"/>
    </xf>
    <xf borderId="7" fillId="19" fontId="2" numFmtId="0" xfId="0" applyAlignment="1" applyBorder="1" applyFont="1">
      <alignment horizontal="center" readingOrder="0" shrinkToFit="0" vertical="center" wrapText="1"/>
    </xf>
    <xf borderId="8" fillId="19" fontId="1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left" readingOrder="0" vertical="center"/>
    </xf>
    <xf borderId="26" fillId="4" fontId="5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 shrinkToFit="0" vertical="center" wrapText="1"/>
    </xf>
    <xf borderId="7" fillId="3" fontId="2" numFmtId="167" xfId="0" applyAlignment="1" applyBorder="1" applyFont="1" applyNumberFormat="1">
      <alignment horizontal="center" readingOrder="0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readingOrder="0" shrinkToFit="0" vertical="center" wrapText="1"/>
    </xf>
    <xf borderId="13" fillId="4" fontId="6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27" fillId="15" fontId="1" numFmtId="0" xfId="0" applyAlignment="1" applyBorder="1" applyFont="1">
      <alignment horizontal="center" readingOrder="0" vertical="center"/>
    </xf>
    <xf borderId="28" fillId="15" fontId="1" numFmtId="0" xfId="0" applyAlignment="1" applyBorder="1" applyFont="1">
      <alignment horizontal="center" readingOrder="0" vertical="center"/>
    </xf>
    <xf borderId="2" fillId="15" fontId="1" numFmtId="0" xfId="0" applyAlignment="1" applyBorder="1" applyFont="1">
      <alignment horizontal="center" readingOrder="0" vertical="center"/>
    </xf>
    <xf borderId="3" fillId="15" fontId="1" numFmtId="0" xfId="0" applyAlignment="1" applyBorder="1" applyFont="1">
      <alignment horizontal="center" readingOrder="0" vertical="center"/>
    </xf>
    <xf borderId="29" fillId="15" fontId="1" numFmtId="0" xfId="0" applyAlignment="1" applyBorder="1" applyFont="1">
      <alignment horizontal="center" readingOrder="0" vertical="center"/>
    </xf>
    <xf borderId="30" fillId="0" fontId="2" numFmtId="0" xfId="0" applyAlignment="1" applyBorder="1" applyFont="1">
      <alignment horizontal="left" readingOrder="0" vertical="center"/>
    </xf>
    <xf borderId="19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31" fillId="0" fontId="3" numFmtId="0" xfId="0" applyBorder="1" applyFont="1"/>
    <xf borderId="32" fillId="0" fontId="2" numFmtId="0" xfId="0" applyAlignment="1" applyBorder="1" applyFont="1">
      <alignment horizontal="left" readingOrder="0" vertical="center"/>
    </xf>
    <xf borderId="33" fillId="0" fontId="3" numFmtId="0" xfId="0" applyBorder="1" applyFont="1"/>
    <xf borderId="34" fillId="0" fontId="1" numFmtId="0" xfId="0" applyAlignment="1" applyBorder="1" applyFont="1">
      <alignment horizontal="left" readingOrder="0" vertical="center"/>
    </xf>
    <xf borderId="35" fillId="0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left" vertical="center"/>
    </xf>
    <xf borderId="0" fillId="2" fontId="15" numFmtId="0" xfId="0" applyAlignment="1" applyFont="1">
      <alignment horizontal="center" readingOrder="0" vertical="center"/>
    </xf>
    <xf borderId="27" fillId="3" fontId="15" numFmtId="0" xfId="0" applyAlignment="1" applyBorder="1" applyFont="1">
      <alignment horizontal="center" readingOrder="0" vertical="center"/>
    </xf>
    <xf borderId="28" fillId="3" fontId="15" numFmtId="0" xfId="0" applyAlignment="1" applyBorder="1" applyFont="1">
      <alignment horizontal="center" readingOrder="0" vertical="center"/>
    </xf>
    <xf borderId="2" fillId="3" fontId="15" numFmtId="0" xfId="0" applyAlignment="1" applyBorder="1" applyFont="1">
      <alignment horizontal="center" readingOrder="0" vertical="center"/>
    </xf>
    <xf borderId="3" fillId="3" fontId="15" numFmtId="0" xfId="0" applyAlignment="1" applyBorder="1" applyFont="1">
      <alignment horizontal="center" readingOrder="0" vertical="center"/>
    </xf>
    <xf borderId="0" fillId="2" fontId="15" numFmtId="0" xfId="0" applyAlignment="1" applyFont="1">
      <alignment horizontal="center" vertical="center"/>
    </xf>
    <xf borderId="0" fillId="2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29" fillId="3" fontId="15" numFmtId="0" xfId="0" applyAlignment="1" applyBorder="1" applyFont="1">
      <alignment horizontal="center" readingOrder="0" shrinkToFit="0" vertical="center" wrapText="1"/>
    </xf>
    <xf borderId="36" fillId="3" fontId="12" numFmtId="0" xfId="0" applyAlignment="1" applyBorder="1" applyFont="1">
      <alignment horizontal="left" readingOrder="0" vertical="center"/>
    </xf>
    <xf borderId="37" fillId="3" fontId="12" numFmtId="0" xfId="0" applyAlignment="1" applyBorder="1" applyFont="1">
      <alignment horizontal="center" readingOrder="0" vertical="center"/>
    </xf>
    <xf borderId="23" fillId="3" fontId="12" numFmtId="0" xfId="0" applyAlignment="1" applyBorder="1" applyFont="1">
      <alignment horizontal="center" readingOrder="0" vertical="center"/>
    </xf>
    <xf borderId="32" fillId="3" fontId="12" numFmtId="0" xfId="0" applyAlignment="1" applyBorder="1" applyFont="1">
      <alignment horizontal="left" readingOrder="0" vertical="center"/>
    </xf>
    <xf borderId="0" fillId="6" fontId="12" numFmtId="0" xfId="0" applyAlignment="1" applyFont="1">
      <alignment horizontal="center" readingOrder="0" vertical="center"/>
    </xf>
    <xf borderId="5" fillId="6" fontId="12" numFmtId="0" xfId="0" applyAlignment="1" applyBorder="1" applyFont="1">
      <alignment horizontal="center" readingOrder="0" vertical="center"/>
    </xf>
    <xf borderId="0" fillId="6" fontId="12" numFmtId="0" xfId="0" applyAlignment="1" applyFont="1">
      <alignment horizontal="center" vertical="center"/>
    </xf>
    <xf borderId="5" fillId="6" fontId="12" numFmtId="0" xfId="0" applyAlignment="1" applyBorder="1" applyFont="1">
      <alignment horizontal="center" vertical="center"/>
    </xf>
    <xf borderId="38" fillId="3" fontId="12" numFmtId="0" xfId="0" applyAlignment="1" applyBorder="1" applyFont="1">
      <alignment horizontal="left" readingOrder="0" vertical="center"/>
    </xf>
    <xf borderId="7" fillId="6" fontId="12" numFmtId="0" xfId="0" applyAlignment="1" applyBorder="1" applyFont="1">
      <alignment horizontal="center" readingOrder="0" vertical="center"/>
    </xf>
    <xf borderId="8" fillId="6" fontId="12" numFmtId="0" xfId="0" applyAlignment="1" applyBorder="1" applyFont="1">
      <alignment horizontal="center" readingOrder="0" vertical="center"/>
    </xf>
    <xf borderId="0" fillId="2" fontId="15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vertical="center"/>
    </xf>
    <xf borderId="37" fillId="0" fontId="2" numFmtId="0" xfId="0" applyBorder="1" applyFont="1"/>
    <xf borderId="23" fillId="0" fontId="2" numFmtId="0" xfId="0" applyBorder="1" applyFont="1"/>
    <xf borderId="0" fillId="0" fontId="2" numFmtId="0" xfId="0" applyFont="1"/>
    <xf borderId="5" fillId="0" fontId="2" numFmtId="0" xfId="0" applyBorder="1" applyFont="1"/>
    <xf borderId="5" fillId="0" fontId="2" numFmtId="0" xfId="0" applyBorder="1" applyFont="1"/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E6B8AF"/>
      </font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heelofnames.com/" TargetMode="External"/><Relationship Id="rId2" Type="http://schemas.openxmlformats.org/officeDocument/2006/relationships/hyperlink" Target="https://indiantree.cps.golf/onlineresweb/search-teetime?TeeOffTimeMin=0&amp;TeeOffTimeMax=23" TargetMode="External"/><Relationship Id="rId3" Type="http://schemas.openxmlformats.org/officeDocument/2006/relationships/hyperlink" Target="https://app.membersports.com/tee-times/3703/20589/0" TargetMode="External"/><Relationship Id="rId4" Type="http://schemas.openxmlformats.org/officeDocument/2006/relationships/hyperlink" Target="https://app.membersports.com/tee-times/3629/20573/1" TargetMode="External"/><Relationship Id="rId11" Type="http://schemas.openxmlformats.org/officeDocument/2006/relationships/hyperlink" Target="https://app.membersports.com/tee-times/3807/4902/0" TargetMode="External"/><Relationship Id="rId10" Type="http://schemas.openxmlformats.org/officeDocument/2006/relationships/hyperlink" Target="https://heatherridge.ezlinksgolf.com/index.html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greenvalleyranch.cps.golf/onlineresweb/search-teetime?TeeOffTimeMin=0&amp;TeeOffTimeMax=23" TargetMode="External"/><Relationship Id="rId5" Type="http://schemas.openxmlformats.org/officeDocument/2006/relationships/hyperlink" Target="https://fossiltrace.cps.golf/onlineresweb/search-teetime?TeeOffTimeMin=0&amp;TeeOffTimeMax=23.999722222222225" TargetMode="External"/><Relationship Id="rId6" Type="http://schemas.openxmlformats.org/officeDocument/2006/relationships/hyperlink" Target="https://cityofwestminster.cps.golf/onlineresweb/search-teetime?TeeOffTimeMin=0&amp;TeeOffTimeMax=23" TargetMode="External"/><Relationship Id="rId7" Type="http://schemas.openxmlformats.org/officeDocument/2006/relationships/hyperlink" Target="https://cityofwestminster.cps.golf/onlineresweb/search-teetime?TeeOffTimeMin=0&amp;TeeOffTimeMax=23" TargetMode="External"/><Relationship Id="rId8" Type="http://schemas.openxmlformats.org/officeDocument/2006/relationships/hyperlink" Target="https://app.membersports.com/tee-times/3697/4758/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heelofnames.com/" TargetMode="External"/><Relationship Id="rId2" Type="http://schemas.openxmlformats.org/officeDocument/2006/relationships/hyperlink" Target="https://indiantree.cps.golf/onlineresweb/search-teetime?TeeOffTimeMin=0&amp;TeeOffTimeMax=23" TargetMode="External"/><Relationship Id="rId3" Type="http://schemas.openxmlformats.org/officeDocument/2006/relationships/hyperlink" Target="https://app.membersports.com/tee-times/3703/20589/0" TargetMode="External"/><Relationship Id="rId4" Type="http://schemas.openxmlformats.org/officeDocument/2006/relationships/hyperlink" Target="https://app.membersports.com/tee-times/3629/20573/1" TargetMode="External"/><Relationship Id="rId11" Type="http://schemas.openxmlformats.org/officeDocument/2006/relationships/hyperlink" Target="https://app.membersports.com/tee-times/3807/4902/0" TargetMode="External"/><Relationship Id="rId10" Type="http://schemas.openxmlformats.org/officeDocument/2006/relationships/hyperlink" Target="https://heatherridge.ezlinksgolf.com/index.html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greenvalleyranch.cps.golf/onlineresweb/search-teetime?TeeOffTimeMin=0&amp;TeeOffTimeMax=23" TargetMode="External"/><Relationship Id="rId5" Type="http://schemas.openxmlformats.org/officeDocument/2006/relationships/hyperlink" Target="https://fossiltrace.cps.golf/onlineresweb/search-teetime?TeeOffTimeMin=0&amp;TeeOffTimeMax=23.999722222222225" TargetMode="External"/><Relationship Id="rId6" Type="http://schemas.openxmlformats.org/officeDocument/2006/relationships/hyperlink" Target="https://cityofwestminster.cps.golf/onlineresweb/search-teetime?TeeOffTimeMin=0&amp;TeeOffTimeMax=23" TargetMode="External"/><Relationship Id="rId7" Type="http://schemas.openxmlformats.org/officeDocument/2006/relationships/hyperlink" Target="https://cityofwestminster.cps.golf/onlineresweb/search-teetime?TeeOffTimeMin=0&amp;TeeOffTimeMax=23" TargetMode="External"/><Relationship Id="rId8" Type="http://schemas.openxmlformats.org/officeDocument/2006/relationships/hyperlink" Target="https://app.membersports.com/tee-times/3697/4758/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jUmxKJ9ZaPkMGQOF_XHnWdDfx2B-lGk6ijITGp1UqQ/edit?tab=t.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0.0"/>
    <col customWidth="1" min="3" max="4" width="7.13"/>
    <col customWidth="1" min="5" max="8" width="7.25"/>
    <col customWidth="1" min="9" max="9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</row>
    <row r="2">
      <c r="A2" s="6">
        <v>46147.0</v>
      </c>
      <c r="B2" s="7" t="s">
        <v>5</v>
      </c>
      <c r="C2" s="8" t="s">
        <v>6</v>
      </c>
      <c r="D2" s="9" t="s">
        <v>6</v>
      </c>
      <c r="E2" s="10" t="s">
        <v>6</v>
      </c>
      <c r="F2" s="9"/>
      <c r="G2" s="9"/>
      <c r="H2" s="9"/>
      <c r="I2" s="9"/>
    </row>
    <row r="3">
      <c r="A3" s="6">
        <v>46154.0</v>
      </c>
      <c r="B3" s="7" t="s">
        <v>7</v>
      </c>
      <c r="C3" s="9">
        <v>0.7361111111111112</v>
      </c>
      <c r="D3" s="9">
        <v>0.7430555555555556</v>
      </c>
      <c r="E3" s="10">
        <v>0.75</v>
      </c>
      <c r="F3" s="9"/>
      <c r="G3" s="9"/>
      <c r="H3" s="9"/>
      <c r="I3" s="9"/>
    </row>
    <row r="4">
      <c r="A4" s="6">
        <v>46161.0</v>
      </c>
      <c r="B4" s="7" t="s">
        <v>8</v>
      </c>
      <c r="C4" s="11">
        <v>0.7222222222222222</v>
      </c>
      <c r="D4" s="9">
        <v>0.7291666666666666</v>
      </c>
      <c r="E4" s="10">
        <v>0.7361111111111112</v>
      </c>
      <c r="F4" s="8">
        <v>510.0</v>
      </c>
      <c r="G4" s="8">
        <v>520.0</v>
      </c>
      <c r="H4" s="8">
        <v>530.0</v>
      </c>
      <c r="I4" s="8" t="s">
        <v>9</v>
      </c>
    </row>
    <row r="5">
      <c r="A5" s="6">
        <v>46168.0</v>
      </c>
      <c r="B5" s="7" t="s">
        <v>7</v>
      </c>
      <c r="C5" s="9">
        <v>0.7361111111111112</v>
      </c>
      <c r="D5" s="9">
        <v>0.7430555555555556</v>
      </c>
      <c r="E5" s="10">
        <v>0.75</v>
      </c>
      <c r="F5" s="9"/>
      <c r="G5" s="9"/>
      <c r="H5" s="9"/>
      <c r="I5" s="9"/>
    </row>
    <row r="6">
      <c r="A6" s="6">
        <v>46175.0</v>
      </c>
      <c r="C6" s="12"/>
      <c r="D6" s="12"/>
      <c r="E6" s="13"/>
      <c r="F6" s="12"/>
      <c r="G6" s="12"/>
      <c r="H6" s="12"/>
      <c r="I6" s="12"/>
    </row>
    <row r="7">
      <c r="A7" s="6">
        <v>46182.0</v>
      </c>
      <c r="C7" s="12"/>
      <c r="D7" s="12"/>
      <c r="E7" s="13"/>
      <c r="F7" s="12"/>
      <c r="G7" s="12"/>
      <c r="H7" s="12"/>
      <c r="I7" s="12"/>
    </row>
    <row r="8">
      <c r="A8" s="6">
        <v>46189.0</v>
      </c>
      <c r="C8" s="12"/>
      <c r="D8" s="12"/>
      <c r="E8" s="13"/>
      <c r="F8" s="12"/>
      <c r="G8" s="12"/>
      <c r="H8" s="12"/>
      <c r="I8" s="12"/>
    </row>
    <row r="9">
      <c r="A9" s="6">
        <v>46196.0</v>
      </c>
      <c r="C9" s="12"/>
      <c r="D9" s="12"/>
      <c r="E9" s="13"/>
      <c r="F9" s="12"/>
      <c r="G9" s="12"/>
      <c r="H9" s="12"/>
      <c r="I9" s="12"/>
    </row>
    <row r="10">
      <c r="A10" s="6">
        <v>46203.0</v>
      </c>
      <c r="C10" s="12"/>
      <c r="D10" s="12"/>
      <c r="E10" s="13"/>
      <c r="F10" s="12"/>
      <c r="G10" s="12"/>
      <c r="H10" s="12"/>
      <c r="I10" s="12"/>
    </row>
    <row r="11">
      <c r="A11" s="6">
        <v>46210.0</v>
      </c>
      <c r="C11" s="12"/>
      <c r="D11" s="12"/>
      <c r="E11" s="13"/>
      <c r="F11" s="12"/>
      <c r="G11" s="12"/>
      <c r="H11" s="12"/>
      <c r="I11" s="12"/>
    </row>
    <row r="12">
      <c r="A12" s="6">
        <v>46217.0</v>
      </c>
      <c r="C12" s="12"/>
      <c r="D12" s="12"/>
      <c r="E12" s="13"/>
      <c r="F12" s="12"/>
      <c r="G12" s="12"/>
      <c r="H12" s="12"/>
      <c r="I12" s="12"/>
    </row>
    <row r="13">
      <c r="A13" s="6">
        <v>46224.0</v>
      </c>
      <c r="C13" s="12"/>
      <c r="D13" s="12"/>
      <c r="E13" s="13"/>
      <c r="F13" s="12"/>
      <c r="G13" s="12"/>
      <c r="H13" s="12"/>
      <c r="I13" s="12"/>
    </row>
    <row r="14">
      <c r="A14" s="6">
        <v>46231.0</v>
      </c>
      <c r="C14" s="12"/>
      <c r="D14" s="12"/>
      <c r="E14" s="13"/>
      <c r="F14" s="12"/>
      <c r="G14" s="12"/>
      <c r="H14" s="12"/>
      <c r="I14" s="12"/>
    </row>
    <row r="15">
      <c r="A15" s="6">
        <v>46238.0</v>
      </c>
      <c r="C15" s="12"/>
      <c r="D15" s="12"/>
      <c r="E15" s="13"/>
      <c r="F15" s="12"/>
      <c r="G15" s="12"/>
      <c r="H15" s="12"/>
      <c r="I15" s="12"/>
    </row>
    <row r="16">
      <c r="A16" s="6">
        <v>46245.0</v>
      </c>
      <c r="C16" s="12"/>
      <c r="D16" s="12"/>
      <c r="E16" s="13"/>
      <c r="F16" s="12"/>
      <c r="G16" s="12"/>
      <c r="H16" s="12"/>
      <c r="I16" s="12"/>
    </row>
    <row r="17">
      <c r="A17" s="6">
        <v>46252.0</v>
      </c>
      <c r="C17" s="12"/>
      <c r="D17" s="12"/>
      <c r="E17" s="13"/>
      <c r="F17" s="12"/>
      <c r="G17" s="12"/>
      <c r="H17" s="12"/>
      <c r="I17" s="12"/>
    </row>
    <row r="18">
      <c r="A18" s="6">
        <v>46259.0</v>
      </c>
      <c r="C18" s="12"/>
      <c r="D18" s="12"/>
      <c r="E18" s="13"/>
      <c r="F18" s="12"/>
      <c r="G18" s="12"/>
      <c r="H18" s="12"/>
      <c r="I18" s="12"/>
    </row>
    <row r="19">
      <c r="A19" s="6">
        <v>46266.0</v>
      </c>
      <c r="C19" s="12"/>
      <c r="D19" s="12"/>
      <c r="E19" s="13"/>
      <c r="F19" s="12"/>
      <c r="G19" s="12"/>
      <c r="H19" s="12"/>
      <c r="I19" s="12"/>
    </row>
    <row r="20">
      <c r="A20" s="6">
        <v>46273.0</v>
      </c>
      <c r="C20" s="12"/>
      <c r="D20" s="12"/>
      <c r="E20" s="13"/>
      <c r="F20" s="12"/>
      <c r="G20" s="12"/>
      <c r="H20" s="12"/>
      <c r="I20" s="12"/>
    </row>
    <row r="21">
      <c r="A21" s="6">
        <v>46280.0</v>
      </c>
      <c r="C21" s="12"/>
      <c r="D21" s="12"/>
      <c r="E21" s="13"/>
      <c r="F21" s="12"/>
      <c r="G21" s="12"/>
      <c r="H21" s="12"/>
      <c r="I21" s="12"/>
    </row>
    <row r="22">
      <c r="A22" s="6">
        <v>46287.0</v>
      </c>
      <c r="C22" s="12"/>
      <c r="D22" s="12"/>
      <c r="E22" s="13"/>
      <c r="F22" s="12"/>
      <c r="G22" s="12"/>
      <c r="H22" s="12"/>
      <c r="I22" s="12"/>
    </row>
    <row r="23">
      <c r="A23" s="6">
        <v>46294.0</v>
      </c>
      <c r="C23" s="12"/>
      <c r="D23" s="12"/>
      <c r="E23" s="13"/>
      <c r="F23" s="12"/>
      <c r="G23" s="12"/>
      <c r="H23" s="12"/>
      <c r="I23" s="12"/>
    </row>
    <row r="24">
      <c r="A24" s="14"/>
      <c r="B24" s="15"/>
      <c r="C24" s="16"/>
      <c r="D24" s="16"/>
      <c r="E24" s="17"/>
      <c r="F24" s="12"/>
      <c r="G24" s="12"/>
      <c r="H24" s="12"/>
      <c r="I2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.75"/>
    <col customWidth="1" min="3" max="3" width="8.38"/>
    <col customWidth="1" min="4" max="4" width="8.63"/>
    <col customWidth="1" min="5" max="5" width="6.75"/>
    <col customWidth="1" min="6" max="6" width="2.13"/>
    <col customWidth="1" min="7" max="7" width="7.5"/>
    <col customWidth="1" min="8" max="8" width="10.63"/>
    <col customWidth="1" min="9" max="9" width="5.88"/>
    <col customWidth="1" min="10" max="10" width="8.38"/>
    <col customWidth="1" min="11" max="11" width="6.88"/>
    <col customWidth="1" min="12" max="12" width="1.63"/>
  </cols>
  <sheetData>
    <row r="1" ht="16.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>
      <c r="A2" s="18"/>
      <c r="B2" s="19" t="s">
        <v>10</v>
      </c>
      <c r="C2" s="20"/>
      <c r="D2" s="20"/>
      <c r="E2" s="21"/>
      <c r="F2" s="18"/>
      <c r="G2" s="19"/>
      <c r="H2" s="20"/>
      <c r="I2" s="20"/>
      <c r="J2" s="20"/>
      <c r="K2" s="21"/>
      <c r="L2" s="18"/>
    </row>
    <row r="3">
      <c r="A3" s="22"/>
      <c r="B3" s="23" t="s">
        <v>11</v>
      </c>
      <c r="C3" s="24" t="s">
        <v>12</v>
      </c>
      <c r="D3" s="24" t="s">
        <v>13</v>
      </c>
      <c r="E3" s="25" t="s">
        <v>14</v>
      </c>
      <c r="F3" s="22"/>
      <c r="G3" s="26" t="s">
        <v>12</v>
      </c>
      <c r="H3" s="27" t="s">
        <v>15</v>
      </c>
      <c r="I3" s="27" t="s">
        <v>16</v>
      </c>
      <c r="J3" s="27" t="s">
        <v>17</v>
      </c>
      <c r="K3" s="28" t="s">
        <v>18</v>
      </c>
      <c r="L3" s="22"/>
    </row>
    <row r="4">
      <c r="A4" s="29"/>
      <c r="B4" s="30">
        <v>1.0</v>
      </c>
      <c r="C4" s="31" t="s">
        <v>19</v>
      </c>
      <c r="D4" s="32">
        <f>SUMIF('Weekly Point Data'!$D:$D, C4, 'Weekly Point Data'!$S:$S)</f>
        <v>23</v>
      </c>
      <c r="E4" s="33">
        <v>0.0</v>
      </c>
      <c r="F4" s="34"/>
      <c r="G4" s="35" t="s">
        <v>19</v>
      </c>
      <c r="H4" s="36">
        <f>SUMIF('Weekly Point Data'!$D:$D, G4, 'Weekly Point Data'!$S:$S)+SUMIF('Weekly Point Data'!$D:$D, G4, 'Weekly Point Data'!$F:$F)</f>
        <v>23</v>
      </c>
      <c r="I4" s="36">
        <f>COUNTIFS('Weekly Point Data'!I:I,"Won",'Weekly Point Data'!D:D,G4)</f>
        <v>1</v>
      </c>
      <c r="J4" s="36">
        <f>COUNTIFS('Weekly Point Data'!E:E,"No",'Weekly Point Data'!D:D,G4)</f>
        <v>0</v>
      </c>
      <c r="K4" s="33">
        <f>MINIFS('Weekly Point Data'!K:K,'Weekly Point Data'!D:D,G4)</f>
        <v>40</v>
      </c>
      <c r="L4" s="29"/>
    </row>
    <row r="5">
      <c r="A5" s="29"/>
      <c r="B5" s="30">
        <v>2.0</v>
      </c>
      <c r="C5" s="31" t="s">
        <v>20</v>
      </c>
      <c r="D5" s="32">
        <f>SUMIF('Weekly Point Data'!$D:$D, C5, 'Weekly Point Data'!$S:$S)</f>
        <v>16</v>
      </c>
      <c r="E5" s="37">
        <f t="shared" ref="E5:E14" si="1">D5-$D$4</f>
        <v>-7</v>
      </c>
      <c r="F5" s="38"/>
      <c r="G5" s="35" t="s">
        <v>20</v>
      </c>
      <c r="H5" s="36">
        <f>SUMIF('Weekly Point Data'!$D:$D, G5, 'Weekly Point Data'!$S:$S)+SUMIF('Weekly Point Data'!$D:$D, G5, 'Weekly Point Data'!$F:$F)</f>
        <v>16</v>
      </c>
      <c r="I5" s="36">
        <f>COUNTIFS('Weekly Point Data'!I:I,"Won",'Weekly Point Data'!D:D,G5)</f>
        <v>1</v>
      </c>
      <c r="J5" s="36">
        <f>COUNTIFS('Weekly Point Data'!E:E,"No",'Weekly Point Data'!D:D,G5)</f>
        <v>0</v>
      </c>
      <c r="K5" s="33">
        <f>MINIFS('Weekly Point Data'!K:K,'Weekly Point Data'!D:D,G5)</f>
        <v>42</v>
      </c>
      <c r="L5" s="29"/>
    </row>
    <row r="6">
      <c r="A6" s="29"/>
      <c r="B6" s="30">
        <v>3.0</v>
      </c>
      <c r="C6" s="31" t="s">
        <v>21</v>
      </c>
      <c r="D6" s="32">
        <f>SUMIF('Weekly Point Data'!$D:$D, C6, 'Weekly Point Data'!$S:$S)</f>
        <v>14</v>
      </c>
      <c r="E6" s="37">
        <f t="shared" si="1"/>
        <v>-9</v>
      </c>
      <c r="F6" s="38"/>
      <c r="G6" s="35" t="s">
        <v>21</v>
      </c>
      <c r="H6" s="36">
        <f>SUMIF('Weekly Point Data'!$D:$D, G6, 'Weekly Point Data'!$S:$S)+SUMIF('Weekly Point Data'!$D:$D, G6, 'Weekly Point Data'!$F:$F)</f>
        <v>14</v>
      </c>
      <c r="I6" s="36">
        <f>COUNTIFS('Weekly Point Data'!I:I,"Won",'Weekly Point Data'!D:D,G6)</f>
        <v>0</v>
      </c>
      <c r="J6" s="36">
        <f>COUNTIFS('Weekly Point Data'!E:E,"No",'Weekly Point Data'!D:D,G6)</f>
        <v>0</v>
      </c>
      <c r="K6" s="33">
        <f>MINIFS('Weekly Point Data'!K:K,'Weekly Point Data'!D:D,G6)</f>
        <v>42</v>
      </c>
      <c r="L6" s="29"/>
    </row>
    <row r="7">
      <c r="A7" s="29"/>
      <c r="B7" s="30">
        <v>4.0</v>
      </c>
      <c r="C7" s="31" t="s">
        <v>22</v>
      </c>
      <c r="D7" s="32">
        <f>SUMIF('Weekly Point Data'!$D:$D, C7, 'Weekly Point Data'!$S:$S)</f>
        <v>12</v>
      </c>
      <c r="E7" s="37">
        <f t="shared" si="1"/>
        <v>-11</v>
      </c>
      <c r="F7" s="38"/>
      <c r="G7" s="35" t="s">
        <v>22</v>
      </c>
      <c r="H7" s="36">
        <f>SUMIF('Weekly Point Data'!$D:$D, G7, 'Weekly Point Data'!$S:$S)+SUMIF('Weekly Point Data'!$D:$D, G7, 'Weekly Point Data'!$F:$F)</f>
        <v>12</v>
      </c>
      <c r="I7" s="36">
        <f>COUNTIFS('Weekly Point Data'!I:I,"Won",'Weekly Point Data'!D:D,G7)</f>
        <v>0</v>
      </c>
      <c r="J7" s="36">
        <f>COUNTIFS('Weekly Point Data'!E:E,"No",'Weekly Point Data'!D:D,G7)</f>
        <v>0</v>
      </c>
      <c r="K7" s="33">
        <f>MINIFS('Weekly Point Data'!K:K,'Weekly Point Data'!D:D,G7)</f>
        <v>42</v>
      </c>
      <c r="L7" s="29"/>
    </row>
    <row r="8">
      <c r="A8" s="29"/>
      <c r="B8" s="30">
        <v>5.0</v>
      </c>
      <c r="C8" s="31" t="s">
        <v>23</v>
      </c>
      <c r="D8" s="32">
        <f>SUMIF('Weekly Point Data'!$D:$D, C8, 'Weekly Point Data'!$S:$S)</f>
        <v>11</v>
      </c>
      <c r="E8" s="37">
        <f t="shared" si="1"/>
        <v>-12</v>
      </c>
      <c r="F8" s="38"/>
      <c r="G8" s="35" t="s">
        <v>23</v>
      </c>
      <c r="H8" s="36">
        <f>SUMIF('Weekly Point Data'!$D:$D, G8, 'Weekly Point Data'!$S:$S)+SUMIF('Weekly Point Data'!$D:$D, G8, 'Weekly Point Data'!$F:$F)</f>
        <v>11</v>
      </c>
      <c r="I8" s="36">
        <f>COUNTIFS('Weekly Point Data'!I:I,"Won",'Weekly Point Data'!D:D,G8)</f>
        <v>0</v>
      </c>
      <c r="J8" s="36">
        <f>COUNTIFS('Weekly Point Data'!E:E,"No",'Weekly Point Data'!D:D,G8)</f>
        <v>0</v>
      </c>
      <c r="K8" s="33">
        <f>MINIFS('Weekly Point Data'!K:K,'Weekly Point Data'!D:D,G8)</f>
        <v>44</v>
      </c>
      <c r="L8" s="29"/>
    </row>
    <row r="9">
      <c r="A9" s="29"/>
      <c r="B9" s="30">
        <v>6.0</v>
      </c>
      <c r="C9" s="31" t="s">
        <v>24</v>
      </c>
      <c r="D9" s="32">
        <f>SUMIF('Weekly Point Data'!$D:$D, C9, 'Weekly Point Data'!$S:$S)</f>
        <v>7</v>
      </c>
      <c r="E9" s="37">
        <f t="shared" si="1"/>
        <v>-16</v>
      </c>
      <c r="F9" s="38"/>
      <c r="G9" s="35" t="s">
        <v>25</v>
      </c>
      <c r="H9" s="36">
        <f>SUMIF('Weekly Point Data'!$D:$D, G9, 'Weekly Point Data'!$S:$S)+SUMIF('Weekly Point Data'!$D:$D, G9, 'Weekly Point Data'!$F:$F)</f>
        <v>9</v>
      </c>
      <c r="I9" s="36">
        <f>COUNTIFS('Weekly Point Data'!I:I,"Won",'Weekly Point Data'!D:D,G9)</f>
        <v>0</v>
      </c>
      <c r="J9" s="36">
        <f>COUNTIFS('Weekly Point Data'!E:E,"No",'Weekly Point Data'!D:D,G9)</f>
        <v>0</v>
      </c>
      <c r="K9" s="33">
        <f>MINIFS('Weekly Point Data'!K:K,'Weekly Point Data'!D:D,G9)</f>
        <v>60</v>
      </c>
      <c r="L9" s="29"/>
    </row>
    <row r="10">
      <c r="A10" s="29"/>
      <c r="B10" s="30">
        <v>7.0</v>
      </c>
      <c r="C10" s="31" t="s">
        <v>26</v>
      </c>
      <c r="D10" s="32">
        <f>SUMIF('Weekly Point Data'!$D:$D, C10, 'Weekly Point Data'!$S:$S)</f>
        <v>7</v>
      </c>
      <c r="E10" s="37">
        <f t="shared" si="1"/>
        <v>-16</v>
      </c>
      <c r="F10" s="38"/>
      <c r="G10" s="35" t="s">
        <v>26</v>
      </c>
      <c r="H10" s="36">
        <f>SUMIF('Weekly Point Data'!$D:$D, G10, 'Weekly Point Data'!$S:$S)+SUMIF('Weekly Point Data'!$D:$D, G10, 'Weekly Point Data'!$F:$F)</f>
        <v>7</v>
      </c>
      <c r="I10" s="36">
        <f>COUNTIFS('Weekly Point Data'!I:I,"Won",'Weekly Point Data'!D:D,G10)</f>
        <v>0</v>
      </c>
      <c r="J10" s="36">
        <f>COUNTIFS('Weekly Point Data'!E:E,"No",'Weekly Point Data'!D:D,G10)</f>
        <v>0</v>
      </c>
      <c r="K10" s="33">
        <f>MINIFS('Weekly Point Data'!K:K,'Weekly Point Data'!D:D,G10)</f>
        <v>51</v>
      </c>
      <c r="L10" s="29"/>
    </row>
    <row r="11">
      <c r="A11" s="29"/>
      <c r="B11" s="30">
        <v>9.0</v>
      </c>
      <c r="C11" s="31" t="s">
        <v>25</v>
      </c>
      <c r="D11" s="32">
        <f>SUMIF('Weekly Point Data'!$D:$D, C11, 'Weekly Point Data'!$S:$S)</f>
        <v>5</v>
      </c>
      <c r="E11" s="37">
        <f t="shared" si="1"/>
        <v>-18</v>
      </c>
      <c r="F11" s="38"/>
      <c r="G11" s="35" t="s">
        <v>24</v>
      </c>
      <c r="H11" s="36">
        <f>SUMIF('Weekly Point Data'!$D:$D, G11, 'Weekly Point Data'!$S:$S)+SUMIF('Weekly Point Data'!$D:$D, G11, 'Weekly Point Data'!$F:$F)</f>
        <v>7</v>
      </c>
      <c r="I11" s="36">
        <f>COUNTIFS('Weekly Point Data'!I:I,"Won",'Weekly Point Data'!D:D,G11)</f>
        <v>0</v>
      </c>
      <c r="J11" s="36">
        <f>COUNTIFS('Weekly Point Data'!E:E,"No",'Weekly Point Data'!D:D,G11)</f>
        <v>0</v>
      </c>
      <c r="K11" s="33">
        <f>MINIFS('Weekly Point Data'!K:K,'Weekly Point Data'!D:D,G11)</f>
        <v>44</v>
      </c>
      <c r="L11" s="29"/>
    </row>
    <row r="12">
      <c r="A12" s="29"/>
      <c r="B12" s="30">
        <v>9.0</v>
      </c>
      <c r="C12" s="31" t="s">
        <v>27</v>
      </c>
      <c r="D12" s="32">
        <f>SUMIF('Weekly Point Data'!$D:$D, C12, 'Weekly Point Data'!$S:$S)</f>
        <v>4</v>
      </c>
      <c r="E12" s="37">
        <f t="shared" si="1"/>
        <v>-19</v>
      </c>
      <c r="F12" s="38"/>
      <c r="G12" s="35" t="s">
        <v>27</v>
      </c>
      <c r="H12" s="36">
        <f>SUMIF('Weekly Point Data'!$D:$D, G12, 'Weekly Point Data'!$S:$S)+SUMIF('Weekly Point Data'!$D:$D, G12, 'Weekly Point Data'!$F:$F)</f>
        <v>4</v>
      </c>
      <c r="I12" s="36">
        <f>COUNTIFS('Weekly Point Data'!I:I,"Won",'Weekly Point Data'!D:D,G12)</f>
        <v>0</v>
      </c>
      <c r="J12" s="36">
        <f>COUNTIFS('Weekly Point Data'!E:E,"No",'Weekly Point Data'!D:D,G12)</f>
        <v>0</v>
      </c>
      <c r="K12" s="33">
        <f>MINIFS('Weekly Point Data'!K:K,'Weekly Point Data'!D:D,G12)</f>
        <v>55</v>
      </c>
      <c r="L12" s="29"/>
    </row>
    <row r="13">
      <c r="A13" s="29"/>
      <c r="B13" s="30">
        <v>10.0</v>
      </c>
      <c r="C13" s="31" t="s">
        <v>28</v>
      </c>
      <c r="D13" s="32">
        <f>SUMIF('Weekly Point Data'!$D:$D, C13, 'Weekly Point Data'!$S:$S)</f>
        <v>0</v>
      </c>
      <c r="E13" s="37">
        <f t="shared" si="1"/>
        <v>-23</v>
      </c>
      <c r="F13" s="38"/>
      <c r="G13" s="35" t="s">
        <v>28</v>
      </c>
      <c r="H13" s="36">
        <f>SUMIF('Weekly Point Data'!$D:$D, G13, 'Weekly Point Data'!$S:$S)+SUMIF('Weekly Point Data'!$D:$D, G13, 'Weekly Point Data'!$F:$F)</f>
        <v>0</v>
      </c>
      <c r="I13" s="36">
        <f>COUNTIFS('Weekly Point Data'!I:I,"Won",'Weekly Point Data'!D:D,G13)</f>
        <v>0</v>
      </c>
      <c r="J13" s="36">
        <f>COUNTIFS('Weekly Point Data'!E:E,"No",'Weekly Point Data'!D:D,G13)</f>
        <v>1</v>
      </c>
      <c r="K13" s="33">
        <f>MINIFS('Weekly Point Data'!K:K,'Weekly Point Data'!D:D,G13)</f>
        <v>0</v>
      </c>
      <c r="L13" s="29"/>
    </row>
    <row r="14">
      <c r="A14" s="29"/>
      <c r="B14" s="39">
        <v>11.0</v>
      </c>
      <c r="C14" s="40" t="s">
        <v>29</v>
      </c>
      <c r="D14" s="41">
        <f>SUMIF('Weekly Point Data'!$D:$D, C14, 'Weekly Point Data'!$S:$S)</f>
        <v>0</v>
      </c>
      <c r="E14" s="42">
        <f t="shared" si="1"/>
        <v>-23</v>
      </c>
      <c r="F14" s="38"/>
      <c r="G14" s="43" t="s">
        <v>29</v>
      </c>
      <c r="H14" s="36">
        <f>SUMIF('Weekly Point Data'!$D:$D, G14, 'Weekly Point Data'!$S:$S)+SUMIF('Weekly Point Data'!$D:$D, G14, 'Weekly Point Data'!$F:$F)</f>
        <v>0</v>
      </c>
      <c r="I14" s="44">
        <f>COUNTIFS('Weekly Point Data'!I:I,"Won",'Weekly Point Data'!D:D,G14)</f>
        <v>0</v>
      </c>
      <c r="J14" s="44">
        <f>COUNTIFS('Weekly Point Data'!E:E,"No",'Weekly Point Data'!D:D,G14)</f>
        <v>1</v>
      </c>
      <c r="K14" s="45">
        <f>MINIFS('Weekly Point Data'!K:K,'Weekly Point Data'!D:D,G14)</f>
        <v>0</v>
      </c>
      <c r="L14" s="29"/>
    </row>
    <row r="15" ht="21.75" customHeight="1">
      <c r="A15" s="29"/>
      <c r="B15" s="34"/>
      <c r="C15" s="29"/>
      <c r="D15" s="38"/>
      <c r="E15" s="38"/>
      <c r="F15" s="38"/>
      <c r="G15" s="29"/>
      <c r="H15" s="29"/>
      <c r="I15" s="29"/>
      <c r="J15" s="29"/>
      <c r="K15" s="29"/>
      <c r="L15" s="29"/>
    </row>
  </sheetData>
  <autoFilter ref="$G$3:$K$14">
    <sortState ref="G3:K14">
      <sortCondition descending="1" ref="H3:H14"/>
    </sortState>
  </autoFilter>
  <mergeCells count="2">
    <mergeCell ref="B2:E2"/>
    <mergeCell ref="G2:K2"/>
  </mergeCells>
  <conditionalFormatting sqref="E5:F15">
    <cfRule type="colorScale" priority="1">
      <colorScale>
        <cfvo type="min"/>
        <cfvo type="percentile" val="50"/>
        <cfvo type="max"/>
        <color rgb="FFE6B8AF"/>
        <color rgb="FFFCE5CD"/>
        <color rgb="FFFFF2CC"/>
      </colorScale>
    </cfRule>
  </conditionalFormatting>
  <conditionalFormatting sqref="D4:D15">
    <cfRule type="colorScale" priority="2">
      <colorScale>
        <cfvo type="min"/>
        <cfvo type="max"/>
        <color rgb="FFFFFFFF"/>
        <color rgb="FF93C47D"/>
      </colorScale>
    </cfRule>
  </conditionalFormatting>
  <conditionalFormatting sqref="H4:H14">
    <cfRule type="colorScale" priority="3">
      <colorScale>
        <cfvo type="min"/>
        <cfvo type="max"/>
        <color rgb="FFFFFFFF"/>
        <color rgb="FF93C47D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7.88"/>
    <col customWidth="1" min="2" max="2" width="7.13"/>
    <col customWidth="1" min="3" max="3" width="10.0"/>
    <col customWidth="1" min="4" max="4" width="8.5"/>
    <col customWidth="1" min="5" max="5" width="13.63"/>
    <col customWidth="1" min="6" max="7" width="10.38"/>
    <col customWidth="1" min="8" max="8" width="9.38"/>
    <col customWidth="1" min="9" max="9" width="9.25"/>
    <col customWidth="1" min="10" max="10" width="5.88"/>
    <col customWidth="1" min="11" max="11" width="8.38"/>
    <col customWidth="1" min="12" max="12" width="7.63"/>
    <col customWidth="1" min="13" max="13" width="8.25"/>
    <col customWidth="1" min="14" max="14" width="11.25"/>
    <col customWidth="1" min="15" max="18" width="8.63"/>
    <col customWidth="1" min="19" max="19" width="8.88"/>
    <col customWidth="1" min="20" max="20" width="3.25"/>
  </cols>
  <sheetData>
    <row r="1">
      <c r="A1" s="46" t="s">
        <v>30</v>
      </c>
      <c r="B1" s="20"/>
      <c r="C1" s="20"/>
      <c r="D1" s="21"/>
      <c r="E1" s="46" t="s">
        <v>31</v>
      </c>
      <c r="F1" s="20"/>
      <c r="G1" s="20"/>
      <c r="H1" s="20"/>
      <c r="I1" s="20"/>
      <c r="J1" s="20"/>
      <c r="K1" s="20"/>
      <c r="L1" s="20"/>
      <c r="M1" s="21"/>
      <c r="N1" s="47" t="s">
        <v>32</v>
      </c>
      <c r="O1" s="20"/>
      <c r="P1" s="20"/>
      <c r="Q1" s="20"/>
      <c r="R1" s="21"/>
      <c r="S1" s="48" t="s">
        <v>33</v>
      </c>
      <c r="T1" s="49"/>
    </row>
    <row r="2">
      <c r="A2" s="50" t="s">
        <v>34</v>
      </c>
      <c r="B2" s="51" t="s">
        <v>0</v>
      </c>
      <c r="C2" s="52" t="s">
        <v>1</v>
      </c>
      <c r="D2" s="53" t="s">
        <v>12</v>
      </c>
      <c r="E2" s="50" t="s">
        <v>35</v>
      </c>
      <c r="F2" s="52" t="s">
        <v>36</v>
      </c>
      <c r="G2" s="52" t="s">
        <v>37</v>
      </c>
      <c r="H2" s="52" t="s">
        <v>38</v>
      </c>
      <c r="I2" s="52" t="s">
        <v>39</v>
      </c>
      <c r="J2" s="52" t="s">
        <v>40</v>
      </c>
      <c r="K2" s="52" t="s">
        <v>41</v>
      </c>
      <c r="L2" s="52" t="s">
        <v>42</v>
      </c>
      <c r="M2" s="53" t="s">
        <v>43</v>
      </c>
      <c r="N2" s="52" t="s">
        <v>44</v>
      </c>
      <c r="O2" s="52" t="s">
        <v>45</v>
      </c>
      <c r="P2" s="52" t="s">
        <v>46</v>
      </c>
      <c r="Q2" s="52" t="s">
        <v>47</v>
      </c>
      <c r="R2" s="52" t="s">
        <v>48</v>
      </c>
      <c r="S2" s="54" t="s">
        <v>13</v>
      </c>
      <c r="T2" s="55"/>
    </row>
    <row r="3" hidden="1">
      <c r="A3" s="56" t="s">
        <v>49</v>
      </c>
      <c r="B3" s="57">
        <v>46154.0</v>
      </c>
      <c r="C3" s="58" t="s">
        <v>7</v>
      </c>
      <c r="D3" s="59" t="s">
        <v>19</v>
      </c>
      <c r="E3" s="60" t="s">
        <v>50</v>
      </c>
      <c r="F3" s="61"/>
      <c r="G3" s="61"/>
      <c r="H3" s="62" t="s">
        <v>51</v>
      </c>
      <c r="I3" s="62" t="s">
        <v>6</v>
      </c>
      <c r="J3" s="62"/>
      <c r="K3" s="62"/>
      <c r="L3" s="62"/>
      <c r="M3" s="63"/>
      <c r="N3" s="64">
        <f t="shared" ref="N3:N24" si="1">IFS(E3="Yes",3,E3="No",0,E3="Confirmed",3,E3="unk",0)</f>
        <v>0</v>
      </c>
      <c r="O3" s="64">
        <f t="shared" ref="O3:O24" si="2">IFS(I3="Tied",2,I3="Won",5,I3="Lost",0,I3="n/a",0)</f>
        <v>0</v>
      </c>
      <c r="P3" s="65">
        <v>0.0</v>
      </c>
      <c r="Q3" s="65">
        <v>0.0</v>
      </c>
      <c r="R3" s="65">
        <v>0.0</v>
      </c>
      <c r="S3" s="66">
        <f t="shared" ref="S3:S24" si="3">SUM(N3:R3)</f>
        <v>0</v>
      </c>
      <c r="T3" s="67"/>
    </row>
    <row r="4" hidden="1">
      <c r="A4" s="56" t="s">
        <v>49</v>
      </c>
      <c r="B4" s="57">
        <v>46154.0</v>
      </c>
      <c r="C4" s="58" t="s">
        <v>7</v>
      </c>
      <c r="D4" s="59" t="s">
        <v>21</v>
      </c>
      <c r="E4" s="60" t="s">
        <v>50</v>
      </c>
      <c r="F4" s="61"/>
      <c r="G4" s="61"/>
      <c r="H4" s="62" t="s">
        <v>51</v>
      </c>
      <c r="I4" s="62" t="s">
        <v>6</v>
      </c>
      <c r="J4" s="62"/>
      <c r="K4" s="62"/>
      <c r="L4" s="62"/>
      <c r="M4" s="63"/>
      <c r="N4" s="64">
        <f t="shared" si="1"/>
        <v>0</v>
      </c>
      <c r="O4" s="68">
        <f t="shared" si="2"/>
        <v>0</v>
      </c>
      <c r="P4" s="65">
        <v>0.0</v>
      </c>
      <c r="Q4" s="65">
        <v>0.0</v>
      </c>
      <c r="R4" s="65">
        <v>0.0</v>
      </c>
      <c r="S4" s="66">
        <f t="shared" si="3"/>
        <v>0</v>
      </c>
      <c r="T4" s="67"/>
    </row>
    <row r="5" hidden="1">
      <c r="A5" s="56" t="s">
        <v>49</v>
      </c>
      <c r="B5" s="57">
        <v>46154.0</v>
      </c>
      <c r="C5" s="58" t="s">
        <v>7</v>
      </c>
      <c r="D5" s="59" t="s">
        <v>20</v>
      </c>
      <c r="E5" s="60" t="s">
        <v>50</v>
      </c>
      <c r="F5" s="61"/>
      <c r="G5" s="61"/>
      <c r="H5" s="62" t="s">
        <v>51</v>
      </c>
      <c r="I5" s="62" t="s">
        <v>6</v>
      </c>
      <c r="J5" s="62"/>
      <c r="K5" s="62"/>
      <c r="L5" s="62"/>
      <c r="M5" s="63"/>
      <c r="N5" s="64">
        <f t="shared" si="1"/>
        <v>0</v>
      </c>
      <c r="O5" s="64">
        <f t="shared" si="2"/>
        <v>0</v>
      </c>
      <c r="P5" s="65">
        <v>0.0</v>
      </c>
      <c r="Q5" s="65">
        <v>0.0</v>
      </c>
      <c r="R5" s="65">
        <v>0.0</v>
      </c>
      <c r="S5" s="66">
        <f t="shared" si="3"/>
        <v>0</v>
      </c>
      <c r="T5" s="67"/>
    </row>
    <row r="6" hidden="1">
      <c r="A6" s="56" t="s">
        <v>49</v>
      </c>
      <c r="B6" s="57">
        <v>46154.0</v>
      </c>
      <c r="C6" s="58" t="s">
        <v>7</v>
      </c>
      <c r="D6" s="59" t="s">
        <v>22</v>
      </c>
      <c r="E6" s="60" t="s">
        <v>50</v>
      </c>
      <c r="F6" s="61"/>
      <c r="G6" s="61"/>
      <c r="H6" s="62" t="s">
        <v>51</v>
      </c>
      <c r="I6" s="62" t="s">
        <v>6</v>
      </c>
      <c r="J6" s="62"/>
      <c r="K6" s="62"/>
      <c r="L6" s="62"/>
      <c r="M6" s="63"/>
      <c r="N6" s="64">
        <f t="shared" si="1"/>
        <v>0</v>
      </c>
      <c r="O6" s="68">
        <f t="shared" si="2"/>
        <v>0</v>
      </c>
      <c r="P6" s="65">
        <v>0.0</v>
      </c>
      <c r="Q6" s="65">
        <v>0.0</v>
      </c>
      <c r="R6" s="65">
        <v>0.0</v>
      </c>
      <c r="S6" s="66">
        <f t="shared" si="3"/>
        <v>0</v>
      </c>
      <c r="T6" s="67"/>
    </row>
    <row r="7" hidden="1">
      <c r="A7" s="56" t="s">
        <v>49</v>
      </c>
      <c r="B7" s="57">
        <v>46154.0</v>
      </c>
      <c r="C7" s="58" t="s">
        <v>7</v>
      </c>
      <c r="D7" s="59" t="s">
        <v>23</v>
      </c>
      <c r="E7" s="60" t="s">
        <v>50</v>
      </c>
      <c r="F7" s="61"/>
      <c r="G7" s="61"/>
      <c r="H7" s="62" t="s">
        <v>51</v>
      </c>
      <c r="I7" s="62" t="s">
        <v>6</v>
      </c>
      <c r="J7" s="62"/>
      <c r="K7" s="62"/>
      <c r="L7" s="62"/>
      <c r="M7" s="63"/>
      <c r="N7" s="64">
        <f t="shared" si="1"/>
        <v>0</v>
      </c>
      <c r="O7" s="65">
        <f t="shared" si="2"/>
        <v>0</v>
      </c>
      <c r="P7" s="65">
        <v>0.0</v>
      </c>
      <c r="Q7" s="65">
        <v>0.0</v>
      </c>
      <c r="R7" s="65">
        <v>0.0</v>
      </c>
      <c r="S7" s="66">
        <f t="shared" si="3"/>
        <v>0</v>
      </c>
      <c r="T7" s="67"/>
    </row>
    <row r="8" hidden="1">
      <c r="A8" s="56" t="s">
        <v>49</v>
      </c>
      <c r="B8" s="57">
        <v>46154.0</v>
      </c>
      <c r="C8" s="58" t="s">
        <v>7</v>
      </c>
      <c r="D8" s="59" t="s">
        <v>24</v>
      </c>
      <c r="E8" s="60" t="s">
        <v>50</v>
      </c>
      <c r="F8" s="61"/>
      <c r="G8" s="61"/>
      <c r="H8" s="62" t="s">
        <v>51</v>
      </c>
      <c r="I8" s="62" t="s">
        <v>6</v>
      </c>
      <c r="J8" s="62"/>
      <c r="K8" s="62"/>
      <c r="L8" s="62"/>
      <c r="M8" s="63"/>
      <c r="N8" s="64">
        <f t="shared" si="1"/>
        <v>0</v>
      </c>
      <c r="O8" s="65">
        <f t="shared" si="2"/>
        <v>0</v>
      </c>
      <c r="P8" s="65">
        <v>0.0</v>
      </c>
      <c r="Q8" s="65">
        <v>0.0</v>
      </c>
      <c r="R8" s="65">
        <v>0.0</v>
      </c>
      <c r="S8" s="66">
        <f t="shared" si="3"/>
        <v>0</v>
      </c>
      <c r="T8" s="67"/>
    </row>
    <row r="9" hidden="1">
      <c r="A9" s="56" t="s">
        <v>49</v>
      </c>
      <c r="B9" s="57">
        <v>46154.0</v>
      </c>
      <c r="C9" s="58" t="s">
        <v>7</v>
      </c>
      <c r="D9" s="59" t="s">
        <v>27</v>
      </c>
      <c r="E9" s="60" t="s">
        <v>50</v>
      </c>
      <c r="F9" s="61"/>
      <c r="G9" s="61"/>
      <c r="H9" s="62" t="s">
        <v>51</v>
      </c>
      <c r="I9" s="62" t="s">
        <v>6</v>
      </c>
      <c r="J9" s="62"/>
      <c r="K9" s="62"/>
      <c r="L9" s="62"/>
      <c r="M9" s="63"/>
      <c r="N9" s="64">
        <f t="shared" si="1"/>
        <v>0</v>
      </c>
      <c r="O9" s="65">
        <f t="shared" si="2"/>
        <v>0</v>
      </c>
      <c r="P9" s="65">
        <v>0.0</v>
      </c>
      <c r="Q9" s="65">
        <v>0.0</v>
      </c>
      <c r="R9" s="65">
        <v>0.0</v>
      </c>
      <c r="S9" s="66">
        <f t="shared" si="3"/>
        <v>0</v>
      </c>
      <c r="T9" s="67"/>
    </row>
    <row r="10" hidden="1">
      <c r="A10" s="56" t="s">
        <v>49</v>
      </c>
      <c r="B10" s="57">
        <v>46154.0</v>
      </c>
      <c r="C10" s="58" t="s">
        <v>7</v>
      </c>
      <c r="D10" s="59" t="s">
        <v>25</v>
      </c>
      <c r="E10" s="60" t="s">
        <v>50</v>
      </c>
      <c r="F10" s="61"/>
      <c r="G10" s="61"/>
      <c r="H10" s="62" t="s">
        <v>51</v>
      </c>
      <c r="I10" s="62" t="s">
        <v>6</v>
      </c>
      <c r="J10" s="62"/>
      <c r="K10" s="62"/>
      <c r="L10" s="62"/>
      <c r="M10" s="63"/>
      <c r="N10" s="64">
        <f t="shared" si="1"/>
        <v>0</v>
      </c>
      <c r="O10" s="68">
        <f t="shared" si="2"/>
        <v>0</v>
      </c>
      <c r="P10" s="65">
        <v>0.0</v>
      </c>
      <c r="Q10" s="65">
        <v>0.0</v>
      </c>
      <c r="R10" s="65">
        <v>0.0</v>
      </c>
      <c r="S10" s="66">
        <f t="shared" si="3"/>
        <v>0</v>
      </c>
      <c r="T10" s="67"/>
    </row>
    <row r="11" hidden="1">
      <c r="A11" s="56" t="s">
        <v>49</v>
      </c>
      <c r="B11" s="57">
        <v>46154.0</v>
      </c>
      <c r="C11" s="58" t="s">
        <v>7</v>
      </c>
      <c r="D11" s="59" t="s">
        <v>26</v>
      </c>
      <c r="E11" s="60" t="s">
        <v>50</v>
      </c>
      <c r="F11" s="61"/>
      <c r="G11" s="61"/>
      <c r="H11" s="62" t="s">
        <v>51</v>
      </c>
      <c r="I11" s="62" t="s">
        <v>6</v>
      </c>
      <c r="J11" s="62"/>
      <c r="K11" s="62"/>
      <c r="L11" s="62"/>
      <c r="M11" s="63"/>
      <c r="N11" s="64">
        <f t="shared" si="1"/>
        <v>0</v>
      </c>
      <c r="O11" s="65">
        <f t="shared" si="2"/>
        <v>0</v>
      </c>
      <c r="P11" s="65">
        <v>0.0</v>
      </c>
      <c r="Q11" s="65">
        <v>0.0</v>
      </c>
      <c r="R11" s="65">
        <v>0.0</v>
      </c>
      <c r="S11" s="66">
        <f t="shared" si="3"/>
        <v>0</v>
      </c>
      <c r="T11" s="67"/>
    </row>
    <row r="12" hidden="1">
      <c r="A12" s="56" t="s">
        <v>49</v>
      </c>
      <c r="B12" s="57">
        <v>46154.0</v>
      </c>
      <c r="C12" s="58" t="s">
        <v>7</v>
      </c>
      <c r="D12" s="59" t="s">
        <v>28</v>
      </c>
      <c r="E12" s="60" t="s">
        <v>50</v>
      </c>
      <c r="F12" s="61"/>
      <c r="G12" s="61"/>
      <c r="H12" s="62" t="s">
        <v>51</v>
      </c>
      <c r="I12" s="62" t="s">
        <v>6</v>
      </c>
      <c r="J12" s="62"/>
      <c r="K12" s="62"/>
      <c r="L12" s="62"/>
      <c r="M12" s="63"/>
      <c r="N12" s="65">
        <f t="shared" si="1"/>
        <v>0</v>
      </c>
      <c r="O12" s="65">
        <f t="shared" si="2"/>
        <v>0</v>
      </c>
      <c r="P12" s="65">
        <v>0.0</v>
      </c>
      <c r="Q12" s="65">
        <v>0.0</v>
      </c>
      <c r="R12" s="65">
        <v>0.0</v>
      </c>
      <c r="S12" s="69">
        <f t="shared" si="3"/>
        <v>0</v>
      </c>
      <c r="T12" s="67"/>
    </row>
    <row r="13" hidden="1">
      <c r="A13" s="56" t="s">
        <v>49</v>
      </c>
      <c r="B13" s="57">
        <v>46154.0</v>
      </c>
      <c r="C13" s="58" t="s">
        <v>7</v>
      </c>
      <c r="D13" s="59" t="s">
        <v>29</v>
      </c>
      <c r="E13" s="60" t="s">
        <v>50</v>
      </c>
      <c r="F13" s="61"/>
      <c r="G13" s="61"/>
      <c r="H13" s="62" t="s">
        <v>51</v>
      </c>
      <c r="I13" s="62" t="s">
        <v>6</v>
      </c>
      <c r="J13" s="62"/>
      <c r="K13" s="62"/>
      <c r="L13" s="62"/>
      <c r="M13" s="63"/>
      <c r="N13" s="65">
        <f t="shared" si="1"/>
        <v>0</v>
      </c>
      <c r="O13" s="65">
        <f t="shared" si="2"/>
        <v>0</v>
      </c>
      <c r="P13" s="65">
        <v>0.0</v>
      </c>
      <c r="Q13" s="65">
        <v>0.0</v>
      </c>
      <c r="R13" s="65">
        <v>0.0</v>
      </c>
      <c r="S13" s="69">
        <f t="shared" si="3"/>
        <v>0</v>
      </c>
      <c r="T13" s="67"/>
    </row>
    <row r="14">
      <c r="A14" s="70" t="s">
        <v>52</v>
      </c>
      <c r="B14" s="71">
        <v>46154.0</v>
      </c>
      <c r="C14" s="72" t="s">
        <v>7</v>
      </c>
      <c r="D14" s="73" t="s">
        <v>19</v>
      </c>
      <c r="E14" s="30" t="s">
        <v>53</v>
      </c>
      <c r="F14" s="36"/>
      <c r="G14" s="36" t="s">
        <v>54</v>
      </c>
      <c r="H14" s="36" t="s">
        <v>51</v>
      </c>
      <c r="I14" s="36" t="s">
        <v>55</v>
      </c>
      <c r="J14" s="36">
        <v>21.0</v>
      </c>
      <c r="K14" s="36">
        <v>40.0</v>
      </c>
      <c r="L14" s="36">
        <v>13.0</v>
      </c>
      <c r="M14" s="33">
        <f t="shared" ref="M14:M22" si="4">K14-ROUNDUP(J14/2,0)</f>
        <v>29</v>
      </c>
      <c r="N14" s="36">
        <f t="shared" si="1"/>
        <v>3</v>
      </c>
      <c r="O14" s="36">
        <f t="shared" si="2"/>
        <v>5</v>
      </c>
      <c r="P14" s="36">
        <v>6.0</v>
      </c>
      <c r="Q14" s="36">
        <v>5.0</v>
      </c>
      <c r="R14" s="36">
        <v>4.0</v>
      </c>
      <c r="S14" s="74">
        <f t="shared" si="3"/>
        <v>23</v>
      </c>
      <c r="T14" s="75"/>
    </row>
    <row r="15">
      <c r="A15" s="70" t="s">
        <v>52</v>
      </c>
      <c r="B15" s="71">
        <v>46154.0</v>
      </c>
      <c r="C15" s="72" t="s">
        <v>7</v>
      </c>
      <c r="D15" s="73" t="s">
        <v>25</v>
      </c>
      <c r="E15" s="30" t="s">
        <v>53</v>
      </c>
      <c r="F15" s="36">
        <v>4.0</v>
      </c>
      <c r="G15" s="36" t="s">
        <v>54</v>
      </c>
      <c r="H15" s="36" t="s">
        <v>51</v>
      </c>
      <c r="I15" s="36" t="s">
        <v>56</v>
      </c>
      <c r="J15" s="36">
        <v>28.0</v>
      </c>
      <c r="K15" s="36">
        <v>60.0</v>
      </c>
      <c r="L15" s="36">
        <v>18.0</v>
      </c>
      <c r="M15" s="33">
        <f t="shared" si="4"/>
        <v>46</v>
      </c>
      <c r="N15" s="36">
        <f t="shared" si="1"/>
        <v>3</v>
      </c>
      <c r="O15" s="36">
        <f t="shared" si="2"/>
        <v>2</v>
      </c>
      <c r="P15" s="36">
        <v>0.0</v>
      </c>
      <c r="Q15" s="36">
        <v>0.0</v>
      </c>
      <c r="R15" s="36">
        <v>0.0</v>
      </c>
      <c r="S15" s="74">
        <f t="shared" si="3"/>
        <v>5</v>
      </c>
      <c r="T15" s="75"/>
    </row>
    <row r="16">
      <c r="A16" s="70" t="s">
        <v>52</v>
      </c>
      <c r="B16" s="71">
        <v>46154.0</v>
      </c>
      <c r="C16" s="72" t="s">
        <v>7</v>
      </c>
      <c r="D16" s="73" t="s">
        <v>21</v>
      </c>
      <c r="E16" s="30" t="s">
        <v>53</v>
      </c>
      <c r="F16" s="36"/>
      <c r="G16" s="36" t="s">
        <v>54</v>
      </c>
      <c r="H16" s="36" t="s">
        <v>51</v>
      </c>
      <c r="I16" s="36" t="s">
        <v>56</v>
      </c>
      <c r="J16" s="36">
        <v>17.9</v>
      </c>
      <c r="K16" s="36">
        <v>42.0</v>
      </c>
      <c r="L16" s="36">
        <v>17.0</v>
      </c>
      <c r="M16" s="33">
        <f t="shared" si="4"/>
        <v>33</v>
      </c>
      <c r="N16" s="36">
        <f t="shared" si="1"/>
        <v>3</v>
      </c>
      <c r="O16" s="36">
        <f t="shared" si="2"/>
        <v>2</v>
      </c>
      <c r="P16" s="36">
        <v>4.0</v>
      </c>
      <c r="Q16" s="36">
        <v>4.0</v>
      </c>
      <c r="R16" s="36">
        <v>1.0</v>
      </c>
      <c r="S16" s="74">
        <f t="shared" si="3"/>
        <v>14</v>
      </c>
      <c r="T16" s="75"/>
    </row>
    <row r="17">
      <c r="A17" s="70" t="s">
        <v>52</v>
      </c>
      <c r="B17" s="71">
        <v>46154.0</v>
      </c>
      <c r="C17" s="72" t="s">
        <v>7</v>
      </c>
      <c r="D17" s="73" t="s">
        <v>20</v>
      </c>
      <c r="E17" s="30" t="s">
        <v>53</v>
      </c>
      <c r="F17" s="36"/>
      <c r="G17" s="36" t="s">
        <v>54</v>
      </c>
      <c r="H17" s="36" t="s">
        <v>51</v>
      </c>
      <c r="I17" s="36" t="s">
        <v>55</v>
      </c>
      <c r="J17" s="36">
        <v>16.8</v>
      </c>
      <c r="K17" s="36">
        <v>42.0</v>
      </c>
      <c r="L17" s="36">
        <v>21.0</v>
      </c>
      <c r="M17" s="33">
        <f t="shared" si="4"/>
        <v>33</v>
      </c>
      <c r="N17" s="36">
        <f t="shared" si="1"/>
        <v>3</v>
      </c>
      <c r="O17" s="36">
        <f t="shared" si="2"/>
        <v>5</v>
      </c>
      <c r="P17" s="36">
        <v>4.0</v>
      </c>
      <c r="Q17" s="36">
        <v>4.0</v>
      </c>
      <c r="R17" s="36">
        <v>0.0</v>
      </c>
      <c r="S17" s="74">
        <f t="shared" si="3"/>
        <v>16</v>
      </c>
      <c r="T17" s="75"/>
    </row>
    <row r="18">
      <c r="A18" s="70" t="s">
        <v>52</v>
      </c>
      <c r="B18" s="71">
        <v>46154.0</v>
      </c>
      <c r="C18" s="72" t="s">
        <v>7</v>
      </c>
      <c r="D18" s="73" t="s">
        <v>22</v>
      </c>
      <c r="E18" s="30" t="s">
        <v>53</v>
      </c>
      <c r="F18" s="36"/>
      <c r="G18" s="36" t="s">
        <v>54</v>
      </c>
      <c r="H18" s="36" t="s">
        <v>51</v>
      </c>
      <c r="I18" s="36" t="s">
        <v>56</v>
      </c>
      <c r="J18" s="36">
        <v>13.9</v>
      </c>
      <c r="K18" s="36">
        <v>42.0</v>
      </c>
      <c r="L18" s="36">
        <v>18.0</v>
      </c>
      <c r="M18" s="33">
        <f t="shared" si="4"/>
        <v>35</v>
      </c>
      <c r="N18" s="36">
        <f t="shared" si="1"/>
        <v>3</v>
      </c>
      <c r="O18" s="36">
        <f t="shared" si="2"/>
        <v>2</v>
      </c>
      <c r="P18" s="36">
        <v>4.0</v>
      </c>
      <c r="Q18" s="36">
        <v>3.0</v>
      </c>
      <c r="R18" s="36">
        <v>0.0</v>
      </c>
      <c r="S18" s="74">
        <f t="shared" si="3"/>
        <v>12</v>
      </c>
      <c r="T18" s="75"/>
    </row>
    <row r="19">
      <c r="A19" s="70" t="s">
        <v>52</v>
      </c>
      <c r="B19" s="71">
        <v>46154.0</v>
      </c>
      <c r="C19" s="72" t="s">
        <v>7</v>
      </c>
      <c r="D19" s="73" t="s">
        <v>23</v>
      </c>
      <c r="E19" s="30" t="s">
        <v>53</v>
      </c>
      <c r="F19" s="36"/>
      <c r="G19" s="36" t="s">
        <v>54</v>
      </c>
      <c r="H19" s="36" t="s">
        <v>51</v>
      </c>
      <c r="I19" s="36" t="s">
        <v>57</v>
      </c>
      <c r="J19" s="36">
        <v>12.7</v>
      </c>
      <c r="K19" s="36">
        <v>44.0</v>
      </c>
      <c r="L19" s="36">
        <v>15.0</v>
      </c>
      <c r="M19" s="33">
        <f t="shared" si="4"/>
        <v>37</v>
      </c>
      <c r="N19" s="36">
        <f t="shared" si="1"/>
        <v>3</v>
      </c>
      <c r="O19" s="36">
        <f t="shared" si="2"/>
        <v>0</v>
      </c>
      <c r="P19" s="36">
        <v>3.0</v>
      </c>
      <c r="Q19" s="36">
        <v>2.0</v>
      </c>
      <c r="R19" s="36">
        <v>3.0</v>
      </c>
      <c r="S19" s="74">
        <f t="shared" si="3"/>
        <v>11</v>
      </c>
      <c r="T19" s="75"/>
    </row>
    <row r="20">
      <c r="A20" s="70" t="s">
        <v>52</v>
      </c>
      <c r="B20" s="71">
        <v>46154.0</v>
      </c>
      <c r="C20" s="72" t="s">
        <v>7</v>
      </c>
      <c r="D20" s="73" t="s">
        <v>24</v>
      </c>
      <c r="E20" s="30" t="s">
        <v>53</v>
      </c>
      <c r="F20" s="36"/>
      <c r="G20" s="36" t="s">
        <v>54</v>
      </c>
      <c r="H20" s="36" t="s">
        <v>51</v>
      </c>
      <c r="I20" s="36" t="s">
        <v>57</v>
      </c>
      <c r="J20" s="36">
        <v>10.9</v>
      </c>
      <c r="K20" s="36">
        <v>44.0</v>
      </c>
      <c r="L20" s="36">
        <v>18.0</v>
      </c>
      <c r="M20" s="33">
        <f t="shared" si="4"/>
        <v>38</v>
      </c>
      <c r="N20" s="36">
        <f t="shared" si="1"/>
        <v>3</v>
      </c>
      <c r="O20" s="36">
        <f t="shared" si="2"/>
        <v>0</v>
      </c>
      <c r="P20" s="36">
        <v>3.0</v>
      </c>
      <c r="Q20" s="36">
        <v>1.0</v>
      </c>
      <c r="R20" s="36">
        <v>0.0</v>
      </c>
      <c r="S20" s="74">
        <f t="shared" si="3"/>
        <v>7</v>
      </c>
      <c r="T20" s="75"/>
    </row>
    <row r="21">
      <c r="A21" s="70" t="s">
        <v>52</v>
      </c>
      <c r="B21" s="71">
        <v>46154.0</v>
      </c>
      <c r="C21" s="72" t="s">
        <v>7</v>
      </c>
      <c r="D21" s="73" t="s">
        <v>27</v>
      </c>
      <c r="E21" s="30" t="s">
        <v>53</v>
      </c>
      <c r="F21" s="36"/>
      <c r="G21" s="36" t="s">
        <v>54</v>
      </c>
      <c r="H21" s="36" t="s">
        <v>51</v>
      </c>
      <c r="I21" s="36" t="s">
        <v>57</v>
      </c>
      <c r="J21" s="36">
        <v>28.0</v>
      </c>
      <c r="K21" s="36">
        <v>55.0</v>
      </c>
      <c r="L21" s="36">
        <v>18.0</v>
      </c>
      <c r="M21" s="33">
        <f t="shared" si="4"/>
        <v>41</v>
      </c>
      <c r="N21" s="36">
        <f t="shared" si="1"/>
        <v>3</v>
      </c>
      <c r="O21" s="36">
        <f t="shared" si="2"/>
        <v>0</v>
      </c>
      <c r="P21" s="36">
        <v>1.0</v>
      </c>
      <c r="Q21" s="36">
        <v>0.0</v>
      </c>
      <c r="R21" s="36">
        <v>0.0</v>
      </c>
      <c r="S21" s="74">
        <f t="shared" si="3"/>
        <v>4</v>
      </c>
      <c r="T21" s="75"/>
    </row>
    <row r="22">
      <c r="A22" s="70" t="s">
        <v>52</v>
      </c>
      <c r="B22" s="71">
        <v>46154.0</v>
      </c>
      <c r="C22" s="72" t="s">
        <v>7</v>
      </c>
      <c r="D22" s="73" t="s">
        <v>26</v>
      </c>
      <c r="E22" s="30" t="s">
        <v>53</v>
      </c>
      <c r="F22" s="36"/>
      <c r="G22" s="36" t="s">
        <v>54</v>
      </c>
      <c r="H22" s="36" t="s">
        <v>51</v>
      </c>
      <c r="I22" s="36" t="s">
        <v>57</v>
      </c>
      <c r="J22" s="36">
        <v>9.1</v>
      </c>
      <c r="K22" s="36">
        <v>51.0</v>
      </c>
      <c r="L22" s="36">
        <v>16.0</v>
      </c>
      <c r="M22" s="33">
        <f t="shared" si="4"/>
        <v>46</v>
      </c>
      <c r="N22" s="36">
        <f t="shared" si="1"/>
        <v>3</v>
      </c>
      <c r="O22" s="36">
        <f t="shared" si="2"/>
        <v>0</v>
      </c>
      <c r="P22" s="36">
        <v>2.0</v>
      </c>
      <c r="Q22" s="36">
        <v>0.0</v>
      </c>
      <c r="R22" s="36">
        <v>2.0</v>
      </c>
      <c r="S22" s="74">
        <f t="shared" si="3"/>
        <v>7</v>
      </c>
      <c r="T22" s="75"/>
    </row>
    <row r="23" hidden="1">
      <c r="A23" s="70" t="s">
        <v>52</v>
      </c>
      <c r="B23" s="71">
        <v>46154.0</v>
      </c>
      <c r="C23" s="72" t="s">
        <v>7</v>
      </c>
      <c r="D23" s="73" t="s">
        <v>28</v>
      </c>
      <c r="E23" s="30" t="s">
        <v>58</v>
      </c>
      <c r="F23" s="36"/>
      <c r="G23" s="36"/>
      <c r="H23" s="36" t="s">
        <v>51</v>
      </c>
      <c r="I23" s="36" t="s">
        <v>6</v>
      </c>
      <c r="J23" s="36" t="s">
        <v>51</v>
      </c>
      <c r="K23" s="36" t="s">
        <v>51</v>
      </c>
      <c r="L23" s="36" t="s">
        <v>51</v>
      </c>
      <c r="M23" s="33" t="s">
        <v>51</v>
      </c>
      <c r="N23" s="36">
        <f t="shared" si="1"/>
        <v>0</v>
      </c>
      <c r="O23" s="36">
        <f t="shared" si="2"/>
        <v>0</v>
      </c>
      <c r="P23" s="36">
        <v>0.0</v>
      </c>
      <c r="Q23" s="36">
        <v>0.0</v>
      </c>
      <c r="R23" s="36">
        <v>0.0</v>
      </c>
      <c r="S23" s="74">
        <f t="shared" si="3"/>
        <v>0</v>
      </c>
      <c r="T23" s="75"/>
    </row>
    <row r="24" hidden="1">
      <c r="A24" s="70" t="s">
        <v>52</v>
      </c>
      <c r="B24" s="71">
        <v>46154.0</v>
      </c>
      <c r="C24" s="72" t="s">
        <v>7</v>
      </c>
      <c r="D24" s="73" t="s">
        <v>29</v>
      </c>
      <c r="E24" s="30" t="s">
        <v>58</v>
      </c>
      <c r="F24" s="36"/>
      <c r="G24" s="36"/>
      <c r="H24" s="36" t="s">
        <v>51</v>
      </c>
      <c r="I24" s="36" t="s">
        <v>6</v>
      </c>
      <c r="J24" s="36" t="s">
        <v>51</v>
      </c>
      <c r="K24" s="36" t="s">
        <v>51</v>
      </c>
      <c r="L24" s="36" t="s">
        <v>51</v>
      </c>
      <c r="M24" s="33" t="s">
        <v>51</v>
      </c>
      <c r="N24" s="36">
        <f t="shared" si="1"/>
        <v>0</v>
      </c>
      <c r="O24" s="36">
        <f t="shared" si="2"/>
        <v>0</v>
      </c>
      <c r="P24" s="36">
        <v>0.0</v>
      </c>
      <c r="Q24" s="36">
        <v>0.0</v>
      </c>
      <c r="R24" s="36">
        <v>0.0</v>
      </c>
      <c r="S24" s="74">
        <f t="shared" si="3"/>
        <v>0</v>
      </c>
      <c r="T24" s="75"/>
    </row>
    <row r="25" hidden="1">
      <c r="A25" s="70"/>
      <c r="B25" s="71"/>
      <c r="C25" s="72"/>
      <c r="D25" s="73"/>
      <c r="E25" s="30"/>
      <c r="F25" s="36"/>
      <c r="G25" s="36"/>
      <c r="H25" s="36"/>
      <c r="I25" s="36"/>
      <c r="J25" s="36"/>
      <c r="K25" s="36"/>
      <c r="L25" s="36"/>
      <c r="M25" s="33"/>
      <c r="N25" s="36"/>
      <c r="O25" s="36"/>
      <c r="P25" s="36"/>
      <c r="Q25" s="36"/>
      <c r="R25" s="36"/>
      <c r="S25" s="74"/>
      <c r="T25" s="75"/>
    </row>
    <row r="26" hidden="1">
      <c r="A26" s="70"/>
      <c r="B26" s="71"/>
      <c r="C26" s="72"/>
      <c r="D26" s="73"/>
      <c r="E26" s="30"/>
      <c r="F26" s="36"/>
      <c r="G26" s="36"/>
      <c r="H26" s="36"/>
      <c r="I26" s="36"/>
      <c r="J26" s="36"/>
      <c r="K26" s="36"/>
      <c r="L26" s="36"/>
      <c r="M26" s="33"/>
      <c r="N26" s="36"/>
      <c r="O26" s="36"/>
      <c r="P26" s="36"/>
      <c r="Q26" s="36"/>
      <c r="R26" s="36"/>
      <c r="S26" s="74"/>
      <c r="T26" s="75"/>
    </row>
    <row r="27" hidden="1">
      <c r="A27" s="70"/>
      <c r="B27" s="71"/>
      <c r="C27" s="72"/>
      <c r="D27" s="73"/>
      <c r="E27" s="30"/>
      <c r="F27" s="36"/>
      <c r="G27" s="36"/>
      <c r="H27" s="36"/>
      <c r="I27" s="36"/>
      <c r="J27" s="36"/>
      <c r="K27" s="36"/>
      <c r="L27" s="36"/>
      <c r="M27" s="33"/>
      <c r="N27" s="36"/>
      <c r="O27" s="36"/>
      <c r="P27" s="36"/>
      <c r="Q27" s="36"/>
      <c r="R27" s="36"/>
      <c r="S27" s="74"/>
      <c r="T27" s="75"/>
    </row>
    <row r="28" hidden="1">
      <c r="A28" s="70"/>
      <c r="B28" s="71"/>
      <c r="C28" s="72"/>
      <c r="D28" s="73"/>
      <c r="E28" s="30"/>
      <c r="F28" s="36"/>
      <c r="G28" s="36"/>
      <c r="H28" s="36"/>
      <c r="I28" s="36"/>
      <c r="J28" s="36"/>
      <c r="K28" s="36"/>
      <c r="L28" s="36"/>
      <c r="M28" s="33"/>
      <c r="N28" s="36"/>
      <c r="O28" s="36"/>
      <c r="P28" s="36"/>
      <c r="Q28" s="36"/>
      <c r="R28" s="36"/>
      <c r="S28" s="74"/>
      <c r="T28" s="75"/>
    </row>
    <row r="29" hidden="1">
      <c r="A29" s="70"/>
      <c r="B29" s="71"/>
      <c r="C29" s="72"/>
      <c r="D29" s="73"/>
      <c r="E29" s="30"/>
      <c r="F29" s="36"/>
      <c r="G29" s="36"/>
      <c r="H29" s="36"/>
      <c r="I29" s="36"/>
      <c r="J29" s="36"/>
      <c r="K29" s="36"/>
      <c r="L29" s="36"/>
      <c r="M29" s="33"/>
      <c r="N29" s="36"/>
      <c r="O29" s="36"/>
      <c r="P29" s="36"/>
      <c r="Q29" s="36"/>
      <c r="R29" s="36"/>
      <c r="S29" s="74"/>
      <c r="T29" s="75"/>
    </row>
    <row r="30" hidden="1">
      <c r="A30" s="70"/>
      <c r="B30" s="71"/>
      <c r="C30" s="72"/>
      <c r="D30" s="73"/>
      <c r="E30" s="30"/>
      <c r="F30" s="36"/>
      <c r="G30" s="36"/>
      <c r="H30" s="36"/>
      <c r="I30" s="36"/>
      <c r="J30" s="36"/>
      <c r="K30" s="36"/>
      <c r="L30" s="36"/>
      <c r="M30" s="33"/>
      <c r="N30" s="36"/>
      <c r="O30" s="36"/>
      <c r="P30" s="36"/>
      <c r="Q30" s="36"/>
      <c r="R30" s="36"/>
      <c r="S30" s="74"/>
      <c r="T30" s="75"/>
    </row>
    <row r="31" hidden="1">
      <c r="A31" s="70"/>
      <c r="B31" s="71"/>
      <c r="C31" s="72"/>
      <c r="D31" s="73"/>
      <c r="E31" s="30"/>
      <c r="F31" s="36"/>
      <c r="G31" s="36"/>
      <c r="H31" s="36"/>
      <c r="I31" s="36"/>
      <c r="J31" s="36"/>
      <c r="K31" s="36"/>
      <c r="L31" s="36"/>
      <c r="M31" s="33"/>
      <c r="N31" s="36"/>
      <c r="O31" s="36"/>
      <c r="P31" s="36"/>
      <c r="Q31" s="36"/>
      <c r="R31" s="36"/>
      <c r="S31" s="74"/>
      <c r="T31" s="75"/>
    </row>
    <row r="32" hidden="1">
      <c r="A32" s="70"/>
      <c r="B32" s="71"/>
      <c r="C32" s="72"/>
      <c r="D32" s="73"/>
      <c r="E32" s="30"/>
      <c r="F32" s="36"/>
      <c r="G32" s="36"/>
      <c r="H32" s="36"/>
      <c r="I32" s="36"/>
      <c r="J32" s="36"/>
      <c r="K32" s="36"/>
      <c r="L32" s="36"/>
      <c r="M32" s="33"/>
      <c r="N32" s="36"/>
      <c r="O32" s="36"/>
      <c r="P32" s="36"/>
      <c r="Q32" s="36"/>
      <c r="R32" s="36"/>
      <c r="S32" s="76"/>
      <c r="T32" s="77"/>
    </row>
    <row r="33" hidden="1">
      <c r="A33" s="78"/>
      <c r="B33" s="79"/>
      <c r="C33" s="80"/>
      <c r="D33" s="81"/>
      <c r="E33" s="39"/>
      <c r="F33" s="44"/>
      <c r="G33" s="44"/>
      <c r="H33" s="44"/>
      <c r="I33" s="44"/>
      <c r="J33" s="44"/>
      <c r="K33" s="44"/>
      <c r="L33" s="44"/>
      <c r="M33" s="45"/>
      <c r="N33" s="36"/>
      <c r="O33" s="36"/>
      <c r="P33" s="36"/>
      <c r="Q33" s="36"/>
      <c r="R33" s="36"/>
      <c r="S33" s="82"/>
      <c r="T33" s="38"/>
    </row>
  </sheetData>
  <autoFilter ref="$A$2:$S$33">
    <filterColumn colId="4">
      <filters>
        <filter val="Confirmed"/>
      </filters>
    </filterColumn>
    <sortState ref="A2:S33">
      <sortCondition ref="G2:G33"/>
      <sortCondition ref="M2:M33"/>
      <sortCondition descending="1" ref="K2:K33"/>
      <sortCondition ref="L2:L33"/>
      <sortCondition ref="E2:E33"/>
      <sortCondition ref="D2:D33"/>
      <sortCondition ref="J2:J33"/>
      <sortCondition descending="1" ref="H2:H33"/>
      <sortCondition ref="A2:A33"/>
      <sortCondition ref="I2:I33"/>
      <sortCondition descending="1" ref="S2:S33"/>
      <sortCondition descending="1" ref="C2:C33"/>
      <sortCondition descending="1" ref="B2:B33"/>
    </sortState>
  </autoFilter>
  <mergeCells count="3">
    <mergeCell ref="A1:D1"/>
    <mergeCell ref="E1:M1"/>
    <mergeCell ref="N1:R1"/>
  </mergeCells>
  <conditionalFormatting sqref="N1:N33">
    <cfRule type="cellIs" dxfId="0" priority="1" operator="equal">
      <formula>3</formula>
    </cfRule>
  </conditionalFormatting>
  <conditionalFormatting sqref="O2:O33">
    <cfRule type="cellIs" dxfId="0" priority="2" operator="equal">
      <formula>5</formula>
    </cfRule>
  </conditionalFormatting>
  <conditionalFormatting sqref="O2:O33">
    <cfRule type="cellIs" dxfId="1" priority="3" operator="equal">
      <formula>2</formula>
    </cfRule>
  </conditionalFormatting>
  <conditionalFormatting sqref="P2:R33">
    <cfRule type="cellIs" dxfId="0" priority="4" operator="greaterThanOrEqual">
      <formula>5</formula>
    </cfRule>
  </conditionalFormatting>
  <conditionalFormatting sqref="P2:R33">
    <cfRule type="cellIs" dxfId="1" priority="5" operator="equal">
      <formula>4</formula>
    </cfRule>
  </conditionalFormatting>
  <conditionalFormatting sqref="P2:R33">
    <cfRule type="cellIs" dxfId="2" priority="6" operator="equal">
      <formula>3</formula>
    </cfRule>
  </conditionalFormatting>
  <conditionalFormatting sqref="P2:R33">
    <cfRule type="cellIs" dxfId="3" priority="7" operator="equal">
      <formula>2</formula>
    </cfRule>
  </conditionalFormatting>
  <conditionalFormatting sqref="P2:R33">
    <cfRule type="cellIs" dxfId="4" priority="8" operator="equal">
      <formula>1</formula>
    </cfRule>
  </conditionalFormatting>
  <conditionalFormatting sqref="N1:S33">
    <cfRule type="cellIs" dxfId="5" priority="9" operator="equal">
      <formula>0</formula>
    </cfRule>
  </conditionalFormatting>
  <dataValidations>
    <dataValidation type="list" allowBlank="1" showErrorMessage="1" sqref="E3:G13 E14:E22 G14:G22 E23:G24">
      <formula1>"Yes,No,Confirmed,unk"</formula1>
    </dataValidation>
    <dataValidation type="list" allowBlank="1" showErrorMessage="1" sqref="I3:I24">
      <formula1>"Tied,Won,Lost,n/a"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7.38"/>
    <col customWidth="1" min="3" max="3" width="11.25"/>
    <col customWidth="1" min="4" max="4" width="10.5"/>
    <col customWidth="1" min="5" max="5" width="9.38"/>
    <col customWidth="1" min="6" max="6" width="10.88"/>
    <col customWidth="1" min="7" max="7" width="2.13"/>
    <col customWidth="1" min="8" max="8" width="6.63"/>
    <col customWidth="1" min="9" max="9" width="5.38"/>
    <col customWidth="1" min="10" max="10" width="6.5"/>
    <col customWidth="1" min="11" max="11" width="0.88"/>
    <col customWidth="1" min="12" max="12" width="6.13"/>
    <col customWidth="1" min="13" max="13" width="5.38"/>
    <col customWidth="1" min="14" max="14" width="6.5"/>
    <col customWidth="1" min="15" max="15" width="6.38"/>
  </cols>
  <sheetData>
    <row r="1" ht="5.25" customHeight="1">
      <c r="A1" s="83"/>
      <c r="B1" s="84"/>
      <c r="C1" s="84"/>
      <c r="D1" s="84"/>
      <c r="E1" s="84"/>
      <c r="F1" s="84"/>
      <c r="G1" s="85"/>
      <c r="H1" s="86"/>
      <c r="I1" s="86"/>
      <c r="J1" s="86"/>
      <c r="K1" s="86"/>
      <c r="L1" s="86"/>
      <c r="M1" s="86"/>
      <c r="N1" s="86"/>
      <c r="O1" s="85"/>
    </row>
    <row r="2">
      <c r="A2" s="83"/>
      <c r="B2" s="87" t="s">
        <v>59</v>
      </c>
      <c r="C2" s="20"/>
      <c r="D2" s="20"/>
      <c r="E2" s="20"/>
      <c r="F2" s="21"/>
      <c r="G2" s="85"/>
      <c r="H2" s="86" t="s">
        <v>60</v>
      </c>
      <c r="O2" s="85"/>
    </row>
    <row r="3" ht="7.5" customHeigh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</row>
    <row r="4">
      <c r="A4" s="90"/>
      <c r="B4" s="90"/>
      <c r="C4" s="90"/>
      <c r="D4" s="90"/>
      <c r="E4" s="90"/>
      <c r="F4" s="90"/>
      <c r="G4" s="91"/>
      <c r="H4" s="91"/>
      <c r="I4" s="91"/>
      <c r="J4" s="91"/>
      <c r="K4" s="91"/>
      <c r="L4" s="91"/>
      <c r="M4" s="91"/>
      <c r="N4" s="91"/>
      <c r="O4" s="91"/>
    </row>
    <row r="5">
      <c r="A5" s="90"/>
      <c r="B5" s="88"/>
      <c r="C5" s="88"/>
      <c r="D5" s="88"/>
      <c r="E5" s="88"/>
      <c r="F5" s="88"/>
      <c r="G5" s="91"/>
      <c r="H5" s="91"/>
      <c r="I5" s="91"/>
      <c r="J5" s="91"/>
      <c r="K5" s="91"/>
      <c r="L5" s="91"/>
      <c r="M5" s="91"/>
      <c r="N5" s="91"/>
      <c r="O5" s="91"/>
    </row>
    <row r="6">
      <c r="A6" s="90"/>
      <c r="B6" s="90"/>
      <c r="C6" s="90"/>
      <c r="D6" s="90"/>
      <c r="E6" s="90"/>
      <c r="F6" s="90"/>
      <c r="G6" s="91"/>
      <c r="H6" s="91"/>
      <c r="I6" s="91"/>
      <c r="J6" s="91"/>
      <c r="K6" s="91"/>
      <c r="L6" s="91"/>
      <c r="M6" s="91"/>
      <c r="N6" s="91"/>
      <c r="O6" s="91"/>
    </row>
    <row r="7">
      <c r="A7" s="90"/>
      <c r="B7" s="90"/>
      <c r="C7" s="90"/>
      <c r="D7" s="90"/>
      <c r="E7" s="90"/>
      <c r="F7" s="90"/>
      <c r="G7" s="91"/>
      <c r="H7" s="91"/>
      <c r="I7" s="91"/>
      <c r="J7" s="91"/>
      <c r="K7" s="91"/>
      <c r="L7" s="91"/>
      <c r="M7" s="91"/>
      <c r="N7" s="91"/>
      <c r="O7" s="91"/>
    </row>
    <row r="8">
      <c r="A8" s="90"/>
      <c r="B8" s="90"/>
      <c r="C8" s="90"/>
      <c r="D8" s="90"/>
      <c r="E8" s="90"/>
      <c r="F8" s="90"/>
      <c r="G8" s="91"/>
      <c r="H8" s="91"/>
      <c r="I8" s="91"/>
      <c r="J8" s="91"/>
      <c r="K8" s="91"/>
      <c r="L8" s="91"/>
      <c r="M8" s="91"/>
      <c r="N8" s="91"/>
      <c r="O8" s="91"/>
    </row>
    <row r="9">
      <c r="A9" s="90"/>
      <c r="B9" s="90"/>
      <c r="C9" s="90"/>
      <c r="D9" s="90"/>
      <c r="E9" s="90"/>
      <c r="F9" s="90"/>
      <c r="G9" s="91"/>
      <c r="H9" s="91"/>
      <c r="I9" s="91"/>
      <c r="J9" s="91"/>
      <c r="K9" s="91"/>
      <c r="L9" s="91"/>
      <c r="M9" s="91"/>
      <c r="N9" s="91"/>
      <c r="O9" s="91"/>
    </row>
    <row r="10">
      <c r="A10" s="90"/>
      <c r="B10" s="90"/>
      <c r="C10" s="90"/>
      <c r="D10" s="90"/>
      <c r="E10" s="90"/>
      <c r="F10" s="90"/>
      <c r="G10" s="91"/>
      <c r="H10" s="91"/>
      <c r="I10" s="91"/>
      <c r="J10" s="91"/>
      <c r="K10" s="91"/>
      <c r="L10" s="91"/>
      <c r="M10" s="91"/>
      <c r="N10" s="91"/>
      <c r="O10" s="91"/>
    </row>
    <row r="11">
      <c r="A11" s="90"/>
      <c r="B11" s="90"/>
      <c r="C11" s="90"/>
      <c r="D11" s="90"/>
      <c r="E11" s="90"/>
      <c r="F11" s="90"/>
      <c r="G11" s="91"/>
      <c r="H11" s="91"/>
      <c r="I11" s="91"/>
      <c r="J11" s="91"/>
      <c r="K11" s="91"/>
      <c r="L11" s="91"/>
      <c r="M11" s="91"/>
      <c r="N11" s="91"/>
      <c r="O11" s="91"/>
    </row>
    <row r="12">
      <c r="A12" s="90"/>
      <c r="B12" s="90"/>
      <c r="C12" s="90"/>
      <c r="D12" s="90"/>
      <c r="E12" s="90"/>
      <c r="F12" s="90"/>
      <c r="G12" s="91"/>
      <c r="H12" s="91"/>
      <c r="I12" s="91"/>
      <c r="J12" s="91"/>
      <c r="K12" s="91"/>
      <c r="L12" s="91"/>
      <c r="M12" s="91"/>
      <c r="N12" s="91"/>
      <c r="O12" s="91"/>
    </row>
    <row r="13">
      <c r="A13" s="90"/>
      <c r="B13" s="90"/>
      <c r="C13" s="90"/>
      <c r="D13" s="90"/>
      <c r="E13" s="90"/>
      <c r="F13" s="90"/>
      <c r="G13" s="91"/>
      <c r="H13" s="91"/>
      <c r="I13" s="91"/>
      <c r="J13" s="91"/>
      <c r="K13" s="91"/>
      <c r="L13" s="91"/>
      <c r="M13" s="91"/>
      <c r="N13" s="91"/>
      <c r="O13" s="91"/>
    </row>
    <row r="14">
      <c r="A14" s="90"/>
      <c r="B14" s="90"/>
      <c r="C14" s="90"/>
      <c r="D14" s="90"/>
      <c r="E14" s="90"/>
      <c r="F14" s="90"/>
      <c r="G14" s="91"/>
      <c r="H14" s="91"/>
      <c r="I14" s="91"/>
      <c r="J14" s="91"/>
      <c r="K14" s="91"/>
      <c r="L14" s="91"/>
      <c r="M14" s="91"/>
      <c r="N14" s="91"/>
      <c r="O14" s="91"/>
    </row>
    <row r="15">
      <c r="A15" s="90"/>
      <c r="B15" s="90"/>
      <c r="C15" s="90"/>
      <c r="D15" s="90"/>
      <c r="E15" s="90"/>
      <c r="F15" s="90"/>
      <c r="G15" s="91"/>
      <c r="H15" s="91"/>
      <c r="I15" s="91"/>
      <c r="J15" s="91"/>
      <c r="K15" s="91"/>
      <c r="L15" s="91"/>
      <c r="M15" s="91"/>
      <c r="N15" s="91"/>
      <c r="O15" s="91"/>
    </row>
    <row r="16">
      <c r="A16" s="90"/>
      <c r="B16" s="90"/>
      <c r="C16" s="90"/>
      <c r="D16" s="90"/>
      <c r="E16" s="90"/>
      <c r="F16" s="90"/>
      <c r="G16" s="91"/>
      <c r="H16" s="91"/>
      <c r="I16" s="91"/>
      <c r="J16" s="91"/>
      <c r="K16" s="91"/>
      <c r="L16" s="91"/>
      <c r="M16" s="91"/>
      <c r="N16" s="91"/>
      <c r="O16" s="91"/>
    </row>
    <row r="17">
      <c r="A17" s="90"/>
      <c r="B17" s="90"/>
      <c r="C17" s="90"/>
      <c r="D17" s="90"/>
      <c r="E17" s="90"/>
      <c r="F17" s="90"/>
      <c r="G17" s="91"/>
      <c r="H17" s="91"/>
      <c r="I17" s="91"/>
      <c r="J17" s="91"/>
      <c r="K17" s="91"/>
      <c r="L17" s="91"/>
      <c r="M17" s="91"/>
      <c r="N17" s="91"/>
      <c r="O17" s="91"/>
    </row>
    <row r="18">
      <c r="A18" s="90"/>
      <c r="B18" s="90"/>
      <c r="C18" s="90"/>
      <c r="D18" s="90"/>
      <c r="E18" s="90"/>
      <c r="F18" s="90"/>
      <c r="G18" s="91"/>
      <c r="H18" s="91"/>
      <c r="I18" s="91"/>
      <c r="J18" s="91"/>
      <c r="K18" s="91"/>
      <c r="L18" s="91"/>
      <c r="M18" s="91"/>
      <c r="N18" s="91"/>
      <c r="O18" s="91"/>
    </row>
    <row r="19">
      <c r="A19" s="90"/>
      <c r="B19" s="90"/>
      <c r="C19" s="90"/>
      <c r="D19" s="90"/>
      <c r="E19" s="90"/>
      <c r="F19" s="90"/>
      <c r="G19" s="91"/>
      <c r="H19" s="91"/>
      <c r="I19" s="91"/>
      <c r="J19" s="91"/>
      <c r="K19" s="91"/>
      <c r="L19" s="91"/>
      <c r="M19" s="91"/>
      <c r="N19" s="91"/>
      <c r="O19" s="91"/>
    </row>
    <row r="20">
      <c r="A20" s="90"/>
      <c r="B20" s="90"/>
      <c r="C20" s="90"/>
      <c r="D20" s="90"/>
      <c r="E20" s="90"/>
      <c r="F20" s="90"/>
      <c r="G20" s="91"/>
      <c r="H20" s="91"/>
      <c r="I20" s="91"/>
      <c r="J20" s="91"/>
      <c r="K20" s="91"/>
      <c r="L20" s="91"/>
      <c r="M20" s="91"/>
      <c r="N20" s="91"/>
      <c r="O20" s="91"/>
    </row>
    <row r="21">
      <c r="A21" s="88"/>
      <c r="B21" s="92"/>
      <c r="C21" s="92"/>
      <c r="D21" s="92"/>
      <c r="E21" s="92"/>
      <c r="F21" s="92"/>
      <c r="G21" s="89"/>
      <c r="H21" s="89"/>
      <c r="I21" s="89"/>
      <c r="J21" s="89"/>
      <c r="K21" s="89"/>
      <c r="L21" s="89"/>
      <c r="M21" s="89"/>
      <c r="N21" s="89"/>
      <c r="O21" s="89"/>
    </row>
    <row r="22">
      <c r="A22" s="88"/>
      <c r="B22" s="93" t="s">
        <v>61</v>
      </c>
      <c r="C22" s="20"/>
      <c r="D22" s="20"/>
      <c r="E22" s="20"/>
      <c r="F22" s="21"/>
      <c r="G22" s="89"/>
      <c r="H22" s="89"/>
      <c r="I22" s="89"/>
      <c r="J22" s="89"/>
      <c r="K22" s="89"/>
      <c r="L22" s="89"/>
      <c r="M22" s="89"/>
      <c r="N22" s="89"/>
      <c r="O22" s="89"/>
    </row>
    <row r="23">
      <c r="A23" s="88"/>
      <c r="B23" s="94"/>
      <c r="C23" s="95"/>
      <c r="D23" s="96" t="s">
        <v>62</v>
      </c>
      <c r="E23" s="97"/>
      <c r="F23" s="98"/>
      <c r="G23" s="89"/>
      <c r="H23" s="89"/>
      <c r="I23" s="89"/>
      <c r="J23" s="89"/>
      <c r="K23" s="89"/>
      <c r="L23" s="89"/>
      <c r="M23" s="89"/>
      <c r="N23" s="89"/>
      <c r="O23" s="89"/>
    </row>
    <row r="24">
      <c r="A24" s="88"/>
      <c r="B24" s="99" t="str">
        <f t="array" ref="B24">ROUNDUP(XLOOKUP(B23,'Match Generator'!$B$36:$B$46,'Match Generator'!$C$36:$C$46)/2,0)</f>
        <v>#N/A</v>
      </c>
      <c r="C24" s="100" t="str">
        <f t="array" ref="C24">ROUNDUP(XLOOKUP(C23,'Match Generator'!$B$36:$B$46,'Match Generator'!$C$36:$C$46)/2,0)</f>
        <v>#N/A</v>
      </c>
      <c r="D24" s="101" t="s">
        <v>63</v>
      </c>
      <c r="E24" s="102" t="str">
        <f t="array" ref="E24">ROUNDUP(XLOOKUP(E23,'Match Generator'!$B$36:$B$46,'Match Generator'!$C$36:$C$46)/2,0)</f>
        <v>#N/A</v>
      </c>
      <c r="F24" s="103" t="str">
        <f t="array" ref="F24">ROUNDUP(XLOOKUP(F23,'Match Generator'!$B$36:$B$46,'Match Generator'!$C$36:$C$46)/2,0)</f>
        <v>#N/A</v>
      </c>
      <c r="G24" s="89"/>
      <c r="H24" s="89"/>
      <c r="I24" s="89"/>
      <c r="J24" s="89"/>
      <c r="K24" s="89"/>
      <c r="L24" s="89"/>
      <c r="M24" s="89"/>
      <c r="N24" s="89"/>
      <c r="O24" s="89"/>
    </row>
    <row r="25">
      <c r="A25" s="88"/>
      <c r="B25" s="104" t="s">
        <v>64</v>
      </c>
      <c r="C25" s="105" t="str">
        <f>B24+C24</f>
        <v>#N/A</v>
      </c>
      <c r="D25" s="106" t="str">
        <f>ABS(C25-F25)</f>
        <v>#N/A</v>
      </c>
      <c r="E25" s="107" t="s">
        <v>64</v>
      </c>
      <c r="F25" s="108" t="str">
        <f>E24+F24</f>
        <v>#N/A</v>
      </c>
      <c r="G25" s="89"/>
      <c r="H25" s="89"/>
      <c r="I25" s="89"/>
      <c r="J25" s="89"/>
      <c r="K25" s="89"/>
      <c r="L25" s="89"/>
      <c r="M25" s="89"/>
      <c r="N25" s="89"/>
      <c r="O25" s="89"/>
    </row>
    <row r="26">
      <c r="A26" s="88"/>
      <c r="B26" s="88"/>
      <c r="C26" s="88"/>
      <c r="D26" s="88"/>
      <c r="E26" s="88"/>
      <c r="F26" s="88"/>
      <c r="G26" s="89"/>
      <c r="H26" s="89"/>
      <c r="I26" s="89"/>
      <c r="J26" s="89"/>
      <c r="K26" s="89"/>
      <c r="L26" s="89"/>
      <c r="M26" s="89"/>
      <c r="N26" s="89"/>
      <c r="O26" s="89"/>
    </row>
    <row r="27">
      <c r="A27" s="88"/>
      <c r="B27" s="93" t="s">
        <v>65</v>
      </c>
      <c r="C27" s="20"/>
      <c r="D27" s="20"/>
      <c r="E27" s="20"/>
      <c r="F27" s="21"/>
      <c r="G27" s="89"/>
      <c r="H27" s="89"/>
      <c r="I27" s="89"/>
      <c r="J27" s="89"/>
      <c r="K27" s="89"/>
      <c r="L27" s="89"/>
      <c r="M27" s="89"/>
      <c r="N27" s="89"/>
      <c r="O27" s="89"/>
    </row>
    <row r="28">
      <c r="A28" s="88"/>
      <c r="B28" s="94"/>
      <c r="C28" s="109"/>
      <c r="D28" s="96" t="s">
        <v>62</v>
      </c>
      <c r="E28" s="97"/>
      <c r="F28" s="110"/>
      <c r="G28" s="89"/>
      <c r="H28" s="89"/>
      <c r="I28" s="89"/>
      <c r="J28" s="89"/>
      <c r="K28" s="89"/>
      <c r="L28" s="89"/>
      <c r="M28" s="89"/>
      <c r="N28" s="89"/>
      <c r="O28" s="89"/>
    </row>
    <row r="29">
      <c r="A29" s="88"/>
      <c r="B29" s="104" t="str">
        <f t="array" ref="B29">ROUNDUP(XLOOKUP(B28,'Match Generator'!$B$36:$B$46,'Match Generator'!$C$36:$C$46)/2,0)</f>
        <v>#N/A</v>
      </c>
      <c r="C29" s="111"/>
      <c r="D29" s="106" t="str">
        <f>ABS(B29-E29)</f>
        <v>#N/A</v>
      </c>
      <c r="E29" s="107" t="str">
        <f t="array" ref="E29">ROUNDUP(XLOOKUP(E28,'Match Generator'!$B$36:$B$46,'Match Generator'!$C$36:$C$46)/2,0)</f>
        <v>#N/A</v>
      </c>
      <c r="F29" s="112"/>
      <c r="G29" s="89"/>
      <c r="H29" s="89"/>
      <c r="I29" s="89"/>
      <c r="J29" s="89"/>
      <c r="K29" s="89"/>
      <c r="L29" s="89"/>
      <c r="M29" s="89"/>
      <c r="N29" s="89"/>
      <c r="O29" s="89"/>
    </row>
    <row r="30">
      <c r="A30" s="88"/>
      <c r="B30" s="88"/>
      <c r="C30" s="88"/>
      <c r="D30" s="88"/>
      <c r="E30" s="88"/>
      <c r="F30" s="88"/>
      <c r="G30" s="89"/>
      <c r="H30" s="89"/>
      <c r="I30" s="89"/>
      <c r="J30" s="89"/>
      <c r="K30" s="89"/>
      <c r="L30" s="89"/>
      <c r="M30" s="89"/>
      <c r="N30" s="89"/>
      <c r="O30" s="89"/>
    </row>
    <row r="31">
      <c r="A31" s="88"/>
      <c r="B31" s="93" t="s">
        <v>66</v>
      </c>
      <c r="C31" s="20"/>
      <c r="D31" s="20"/>
      <c r="E31" s="20"/>
      <c r="F31" s="21"/>
      <c r="G31" s="89"/>
      <c r="H31" s="113" t="str">
        <f t="array" ref="H31">INDEX(B32:F32, MATCH(MIN(B33:F33), B33:F33, 0))</f>
        <v>#N/A</v>
      </c>
      <c r="I31" s="114" t="s">
        <v>67</v>
      </c>
      <c r="J31" s="115"/>
      <c r="K31" s="116"/>
      <c r="L31" s="116"/>
      <c r="M31" s="116"/>
      <c r="N31" s="116"/>
      <c r="O31" s="89"/>
    </row>
    <row r="32">
      <c r="A32" s="88"/>
      <c r="B32" s="94"/>
      <c r="C32" s="96" t="s">
        <v>62</v>
      </c>
      <c r="D32" s="117"/>
      <c r="E32" s="96" t="s">
        <v>62</v>
      </c>
      <c r="F32" s="98"/>
      <c r="G32" s="89"/>
      <c r="H32" s="118" t="str">
        <f t="array" ref="H32">INDEX(B32:F32, MATCH(MEDIAN(B33:F33), B33:F33, 0))</f>
        <v>#N/A</v>
      </c>
      <c r="I32" s="119" t="str">
        <f>MEDIAN(B32:F33)-MIN(B32:F33)</f>
        <v>#N/A</v>
      </c>
      <c r="J32" s="120" t="s">
        <v>68</v>
      </c>
      <c r="K32" s="116"/>
      <c r="L32" s="113" t="str">
        <f t="array" ref="L32">INDEX(B32:F32, MATCH(MEDIAN(B33:F33), B33:F33, 0))</f>
        <v>#N/A</v>
      </c>
      <c r="M32" s="114" t="s">
        <v>67</v>
      </c>
      <c r="N32" s="121"/>
      <c r="O32" s="89"/>
    </row>
    <row r="33">
      <c r="A33" s="88"/>
      <c r="B33" s="104" t="str">
        <f t="array" ref="B33">ROUNDUP(XLOOKUP(B32,'Match Generator'!$B$36:$B$46,'Match Generator'!$C$36:$C$46)/2,0)</f>
        <v>#N/A</v>
      </c>
      <c r="C33" s="122"/>
      <c r="D33" s="123" t="str">
        <f t="array" ref="D33">ROUNDUP(XLOOKUP(D32,'Match Generator'!$B$36:$B$46,'Match Generator'!$C$36:$C$46)/2,0)</f>
        <v>#N/A</v>
      </c>
      <c r="E33" s="122"/>
      <c r="F33" s="108" t="str">
        <f t="array" ref="F33">ROUNDUP(XLOOKUP(F32,'Match Generator'!$B$36:$B$46,'Match Generator'!$C$36:$C$46)/2,0)</f>
        <v>#N/A</v>
      </c>
      <c r="G33" s="89"/>
      <c r="H33" s="124" t="str">
        <f t="array" ref="H33">INDEX(B32:F32, MATCH(MAX(B33:F33), B33:F33, 0))</f>
        <v>#N/A</v>
      </c>
      <c r="I33" s="125" t="str">
        <f>MAX(B32:F33)-MIN(B32:F33)</f>
        <v>#N/A</v>
      </c>
      <c r="J33" s="126" t="s">
        <v>68</v>
      </c>
      <c r="K33" s="91"/>
      <c r="L33" s="124" t="str">
        <f t="array" ref="L33">INDEX(B32:F32, MATCH(MAX(B33:F33), B33:F33, 0))</f>
        <v>#N/A</v>
      </c>
      <c r="M33" s="125" t="str">
        <f>MAX(B32:F33)-MEDIAN(B32:F33)</f>
        <v>#N/A</v>
      </c>
      <c r="N33" s="126" t="s">
        <v>68</v>
      </c>
      <c r="O33" s="89"/>
    </row>
    <row r="34">
      <c r="A34" s="88"/>
      <c r="B34" s="88"/>
      <c r="C34" s="88"/>
      <c r="D34" s="88"/>
      <c r="E34" s="88"/>
      <c r="F34" s="88"/>
      <c r="G34" s="89"/>
      <c r="H34" s="89"/>
      <c r="I34" s="89"/>
      <c r="J34" s="89"/>
      <c r="K34" s="89"/>
      <c r="L34" s="89"/>
      <c r="M34" s="89"/>
      <c r="N34" s="89"/>
      <c r="O34" s="89"/>
    </row>
    <row r="35">
      <c r="A35" s="88"/>
      <c r="B35" s="127"/>
      <c r="C35" s="128" t="s">
        <v>69</v>
      </c>
      <c r="D35" s="129"/>
      <c r="E35" s="88"/>
      <c r="F35" s="88"/>
      <c r="G35" s="89"/>
      <c r="H35" s="89"/>
      <c r="I35" s="89"/>
      <c r="J35" s="89"/>
      <c r="K35" s="89"/>
      <c r="L35" s="89"/>
      <c r="M35" s="89"/>
      <c r="N35" s="89"/>
      <c r="O35" s="89"/>
    </row>
    <row r="36">
      <c r="A36" s="88"/>
      <c r="B36" s="36" t="s">
        <v>20</v>
      </c>
      <c r="C36" s="36">
        <v>16.8</v>
      </c>
      <c r="D36" s="36" t="s">
        <v>53</v>
      </c>
      <c r="E36" s="130"/>
      <c r="F36" s="130"/>
      <c r="G36" s="89"/>
      <c r="H36" s="89"/>
      <c r="I36" s="89"/>
      <c r="J36" s="89"/>
      <c r="K36" s="89"/>
      <c r="L36" s="89"/>
      <c r="M36" s="89"/>
      <c r="N36" s="89"/>
      <c r="O36" s="89"/>
    </row>
    <row r="37">
      <c r="A37" s="88"/>
      <c r="B37" s="36" t="s">
        <v>26</v>
      </c>
      <c r="C37" s="36">
        <v>9.1</v>
      </c>
      <c r="D37" s="36" t="s">
        <v>53</v>
      </c>
      <c r="E37" s="130"/>
      <c r="F37" s="130"/>
      <c r="G37" s="89"/>
      <c r="H37" s="89"/>
      <c r="I37" s="89"/>
      <c r="J37" s="89"/>
      <c r="K37" s="89"/>
      <c r="L37" s="89"/>
      <c r="M37" s="89"/>
      <c r="N37" s="89"/>
      <c r="O37" s="89"/>
    </row>
    <row r="38">
      <c r="A38" s="88"/>
      <c r="B38" s="36" t="s">
        <v>22</v>
      </c>
      <c r="C38" s="36">
        <v>13.9</v>
      </c>
      <c r="D38" s="36" t="s">
        <v>53</v>
      </c>
      <c r="E38" s="130"/>
      <c r="F38" s="130"/>
      <c r="G38" s="89"/>
      <c r="H38" s="89"/>
      <c r="I38" s="89"/>
      <c r="J38" s="89"/>
      <c r="K38" s="89"/>
      <c r="L38" s="89"/>
      <c r="M38" s="89"/>
      <c r="N38" s="89"/>
      <c r="O38" s="89"/>
    </row>
    <row r="39">
      <c r="A39" s="88"/>
      <c r="B39" s="36" t="s">
        <v>23</v>
      </c>
      <c r="C39" s="36">
        <v>12.7</v>
      </c>
      <c r="D39" s="36" t="s">
        <v>53</v>
      </c>
      <c r="E39" s="130"/>
      <c r="F39" s="130"/>
      <c r="G39" s="89"/>
      <c r="H39" s="89"/>
      <c r="I39" s="89"/>
      <c r="J39" s="89"/>
      <c r="K39" s="89"/>
      <c r="L39" s="89"/>
      <c r="M39" s="89"/>
      <c r="N39" s="89"/>
      <c r="O39" s="89"/>
    </row>
    <row r="40">
      <c r="A40" s="88"/>
      <c r="B40" s="36" t="s">
        <v>27</v>
      </c>
      <c r="C40" s="36">
        <v>28.0</v>
      </c>
      <c r="D40" s="36" t="s">
        <v>53</v>
      </c>
      <c r="E40" s="130"/>
      <c r="F40" s="130"/>
      <c r="G40" s="89"/>
      <c r="H40" s="89"/>
      <c r="I40" s="89"/>
      <c r="J40" s="89"/>
      <c r="K40" s="89"/>
      <c r="L40" s="89"/>
      <c r="M40" s="89"/>
      <c r="N40" s="89"/>
      <c r="O40" s="89"/>
    </row>
    <row r="41">
      <c r="A41" s="88"/>
      <c r="B41" s="36" t="s">
        <v>21</v>
      </c>
      <c r="C41" s="36">
        <v>17.9</v>
      </c>
      <c r="D41" s="36" t="s">
        <v>53</v>
      </c>
      <c r="E41" s="130"/>
      <c r="F41" s="130"/>
      <c r="G41" s="89"/>
      <c r="H41" s="89"/>
      <c r="I41" s="89"/>
      <c r="J41" s="89"/>
      <c r="K41" s="89"/>
      <c r="L41" s="89"/>
      <c r="M41" s="89"/>
      <c r="N41" s="89"/>
      <c r="O41" s="89"/>
    </row>
    <row r="42">
      <c r="A42" s="88"/>
      <c r="B42" s="36" t="s">
        <v>24</v>
      </c>
      <c r="C42" s="36">
        <v>10.9</v>
      </c>
      <c r="D42" s="36" t="s">
        <v>53</v>
      </c>
      <c r="E42" s="130"/>
      <c r="F42" s="130"/>
      <c r="G42" s="89"/>
      <c r="H42" s="89"/>
      <c r="I42" s="89"/>
      <c r="J42" s="89"/>
      <c r="K42" s="89"/>
      <c r="L42" s="89"/>
      <c r="M42" s="89"/>
      <c r="N42" s="89"/>
      <c r="O42" s="89"/>
    </row>
    <row r="43">
      <c r="A43" s="88"/>
      <c r="B43" s="36" t="s">
        <v>25</v>
      </c>
      <c r="C43" s="36">
        <v>28.0</v>
      </c>
      <c r="D43" s="36" t="s">
        <v>53</v>
      </c>
      <c r="E43" s="130"/>
      <c r="F43" s="130"/>
      <c r="G43" s="89"/>
      <c r="H43" s="89"/>
      <c r="I43" s="89"/>
      <c r="J43" s="89"/>
      <c r="K43" s="89"/>
      <c r="L43" s="89"/>
      <c r="M43" s="89"/>
      <c r="N43" s="89"/>
      <c r="O43" s="89"/>
    </row>
    <row r="44">
      <c r="A44" s="88"/>
      <c r="B44" s="36" t="s">
        <v>19</v>
      </c>
      <c r="C44" s="36">
        <v>21.0</v>
      </c>
      <c r="D44" s="36" t="s">
        <v>53</v>
      </c>
      <c r="E44" s="130"/>
      <c r="F44" s="130"/>
      <c r="G44" s="89"/>
      <c r="H44" s="89"/>
      <c r="I44" s="89"/>
      <c r="J44" s="89"/>
      <c r="K44" s="89"/>
      <c r="L44" s="89"/>
      <c r="M44" s="89"/>
      <c r="N44" s="89"/>
      <c r="O44" s="89"/>
    </row>
    <row r="45">
      <c r="A45" s="88"/>
      <c r="B45" s="36" t="s">
        <v>28</v>
      </c>
      <c r="C45" s="36">
        <v>28.0</v>
      </c>
      <c r="D45" s="36" t="s">
        <v>58</v>
      </c>
      <c r="E45" s="130"/>
      <c r="F45" s="130"/>
      <c r="G45" s="89"/>
      <c r="H45" s="89"/>
      <c r="I45" s="89"/>
      <c r="J45" s="89"/>
      <c r="K45" s="89"/>
      <c r="L45" s="89"/>
      <c r="M45" s="89"/>
      <c r="N45" s="89"/>
      <c r="O45" s="89"/>
    </row>
    <row r="46">
      <c r="A46" s="88"/>
      <c r="B46" s="36" t="s">
        <v>29</v>
      </c>
      <c r="C46" s="36" t="s">
        <v>51</v>
      </c>
      <c r="D46" s="36" t="s">
        <v>58</v>
      </c>
      <c r="E46" s="130"/>
      <c r="F46" s="130"/>
      <c r="G46" s="89"/>
      <c r="H46" s="89"/>
      <c r="I46" s="89"/>
      <c r="J46" s="89"/>
      <c r="K46" s="89"/>
      <c r="L46" s="89"/>
      <c r="M46" s="89"/>
      <c r="N46" s="89"/>
      <c r="O46" s="89"/>
    </row>
    <row r="47">
      <c r="A47" s="88"/>
      <c r="B47" s="88"/>
      <c r="C47" s="88"/>
      <c r="D47" s="88"/>
      <c r="E47" s="88"/>
      <c r="F47" s="88"/>
      <c r="G47" s="89"/>
      <c r="H47" s="89"/>
      <c r="I47" s="89"/>
      <c r="J47" s="89"/>
      <c r="K47" s="89"/>
      <c r="L47" s="89"/>
      <c r="M47" s="89"/>
      <c r="N47" s="89"/>
      <c r="O47" s="89"/>
    </row>
    <row r="48">
      <c r="A48" s="88"/>
      <c r="B48" s="88"/>
      <c r="C48" s="131"/>
      <c r="D48" s="88"/>
      <c r="E48" s="88"/>
      <c r="F48" s="88"/>
      <c r="G48" s="89"/>
      <c r="H48" s="89"/>
      <c r="I48" s="89"/>
      <c r="J48" s="89"/>
      <c r="K48" s="89"/>
      <c r="L48" s="89"/>
      <c r="M48" s="89"/>
      <c r="N48" s="89"/>
      <c r="O48" s="89"/>
    </row>
    <row r="49">
      <c r="A49" s="88"/>
      <c r="B49" s="132" t="s">
        <v>1</v>
      </c>
      <c r="C49" s="133" t="s">
        <v>70</v>
      </c>
      <c r="D49" s="132" t="s">
        <v>71</v>
      </c>
      <c r="E49" s="134"/>
      <c r="F49" s="89"/>
      <c r="G49" s="91"/>
      <c r="H49" s="91"/>
      <c r="I49" s="91"/>
      <c r="J49" s="91"/>
      <c r="K49" s="91"/>
      <c r="L49" s="91"/>
      <c r="M49" s="91"/>
      <c r="N49" s="91"/>
      <c r="O49" s="91"/>
    </row>
    <row r="50">
      <c r="A50" s="88"/>
      <c r="B50" s="7" t="s">
        <v>72</v>
      </c>
      <c r="C50" s="135" t="s">
        <v>73</v>
      </c>
      <c r="D50" s="7" t="s">
        <v>74</v>
      </c>
      <c r="E50" s="116"/>
      <c r="F50" s="89"/>
      <c r="G50" s="91"/>
      <c r="H50" s="91"/>
      <c r="I50" s="91"/>
      <c r="J50" s="91"/>
      <c r="K50" s="91"/>
      <c r="L50" s="91"/>
      <c r="M50" s="91"/>
      <c r="N50" s="91"/>
      <c r="O50" s="91"/>
    </row>
    <row r="51">
      <c r="A51" s="88"/>
      <c r="B51" s="7" t="s">
        <v>75</v>
      </c>
      <c r="C51" s="136" t="s">
        <v>76</v>
      </c>
      <c r="D51" s="7" t="s">
        <v>74</v>
      </c>
      <c r="E51" s="91"/>
      <c r="F51" s="89"/>
      <c r="G51" s="91"/>
      <c r="H51" s="91"/>
      <c r="I51" s="91"/>
      <c r="J51" s="91"/>
      <c r="K51" s="91"/>
      <c r="L51" s="91"/>
      <c r="M51" s="91"/>
      <c r="N51" s="91"/>
      <c r="O51" s="91"/>
    </row>
    <row r="52">
      <c r="A52" s="88"/>
      <c r="B52" s="7" t="s">
        <v>77</v>
      </c>
      <c r="C52" s="137"/>
      <c r="D52" s="7" t="s">
        <v>74</v>
      </c>
      <c r="E52" s="91"/>
      <c r="F52" s="89"/>
      <c r="G52" s="91"/>
      <c r="H52" s="91"/>
      <c r="I52" s="91"/>
      <c r="J52" s="91"/>
      <c r="K52" s="91"/>
      <c r="L52" s="91"/>
      <c r="M52" s="91"/>
      <c r="N52" s="91"/>
      <c r="O52" s="91"/>
    </row>
    <row r="53">
      <c r="A53" s="88"/>
      <c r="B53" s="7" t="s">
        <v>8</v>
      </c>
      <c r="C53" s="137"/>
      <c r="D53" s="7" t="s">
        <v>74</v>
      </c>
      <c r="E53" s="91"/>
      <c r="F53" s="89"/>
      <c r="G53" s="91"/>
      <c r="H53" s="91"/>
      <c r="I53" s="91"/>
      <c r="J53" s="91"/>
      <c r="K53" s="91"/>
      <c r="L53" s="91"/>
      <c r="M53" s="91"/>
      <c r="N53" s="91"/>
      <c r="O53" s="91"/>
    </row>
    <row r="54">
      <c r="A54" s="88"/>
      <c r="B54" s="7" t="s">
        <v>7</v>
      </c>
      <c r="C54" s="137"/>
      <c r="D54" s="7" t="s">
        <v>74</v>
      </c>
      <c r="E54" s="91"/>
      <c r="F54" s="89"/>
      <c r="G54" s="91"/>
      <c r="H54" s="91"/>
      <c r="I54" s="91"/>
      <c r="J54" s="91"/>
      <c r="K54" s="91"/>
      <c r="L54" s="91"/>
      <c r="M54" s="91"/>
      <c r="N54" s="91"/>
      <c r="O54" s="91"/>
    </row>
    <row r="55">
      <c r="A55" s="88"/>
      <c r="B55" s="7" t="s">
        <v>78</v>
      </c>
      <c r="C55" s="135" t="s">
        <v>79</v>
      </c>
      <c r="E55" s="116"/>
      <c r="F55" s="89"/>
      <c r="G55" s="91"/>
      <c r="H55" s="91"/>
      <c r="I55" s="91"/>
      <c r="J55" s="91"/>
      <c r="K55" s="91"/>
      <c r="L55" s="91"/>
      <c r="M55" s="91"/>
      <c r="N55" s="91"/>
      <c r="O55" s="91"/>
    </row>
    <row r="56">
      <c r="A56" s="88"/>
      <c r="B56" s="7" t="s">
        <v>5</v>
      </c>
      <c r="C56" s="136" t="s">
        <v>80</v>
      </c>
      <c r="D56" s="7" t="s">
        <v>74</v>
      </c>
      <c r="E56" s="91"/>
      <c r="F56" s="89"/>
      <c r="G56" s="91"/>
      <c r="H56" s="91"/>
      <c r="I56" s="91"/>
      <c r="J56" s="91"/>
      <c r="K56" s="91"/>
      <c r="L56" s="91"/>
      <c r="M56" s="91"/>
      <c r="N56" s="91"/>
      <c r="O56" s="91"/>
    </row>
    <row r="57">
      <c r="A57" s="88"/>
      <c r="B57" s="7" t="s">
        <v>81</v>
      </c>
      <c r="C57" s="135" t="s">
        <v>82</v>
      </c>
      <c r="E57" s="116"/>
      <c r="F57" s="89"/>
      <c r="G57" s="91"/>
      <c r="H57" s="91"/>
      <c r="I57" s="91"/>
      <c r="J57" s="91"/>
      <c r="K57" s="91"/>
      <c r="L57" s="91"/>
      <c r="M57" s="91"/>
      <c r="N57" s="91"/>
      <c r="O57" s="91"/>
    </row>
    <row r="58">
      <c r="A58" s="88"/>
      <c r="B58" s="7" t="s">
        <v>83</v>
      </c>
      <c r="C58" s="135" t="s">
        <v>82</v>
      </c>
      <c r="E58" s="116"/>
      <c r="F58" s="89"/>
      <c r="G58" s="91"/>
      <c r="H58" s="91"/>
      <c r="I58" s="91"/>
      <c r="J58" s="91"/>
      <c r="K58" s="91"/>
      <c r="L58" s="91"/>
      <c r="M58" s="91"/>
      <c r="N58" s="91"/>
      <c r="O58" s="91"/>
    </row>
    <row r="59">
      <c r="A59" s="88"/>
      <c r="B59" s="7" t="s">
        <v>84</v>
      </c>
      <c r="C59" s="136" t="s">
        <v>85</v>
      </c>
      <c r="D59" s="138"/>
      <c r="E59" s="139"/>
      <c r="F59" s="89"/>
      <c r="G59" s="91"/>
      <c r="H59" s="91"/>
      <c r="I59" s="91"/>
      <c r="J59" s="91"/>
      <c r="K59" s="91"/>
      <c r="L59" s="91"/>
      <c r="M59" s="91"/>
      <c r="N59" s="91"/>
      <c r="O59" s="91"/>
    </row>
    <row r="60">
      <c r="A60" s="88"/>
      <c r="B60" s="7" t="s">
        <v>86</v>
      </c>
      <c r="C60" s="136" t="s">
        <v>87</v>
      </c>
      <c r="E60" s="91"/>
      <c r="F60" s="89"/>
      <c r="G60" s="91"/>
      <c r="H60" s="91"/>
      <c r="I60" s="91"/>
      <c r="J60" s="91"/>
      <c r="K60" s="91"/>
      <c r="L60" s="91"/>
      <c r="M60" s="91"/>
      <c r="N60" s="91"/>
      <c r="O60" s="91"/>
    </row>
    <row r="61">
      <c r="A61" s="88"/>
      <c r="B61" s="7" t="s">
        <v>88</v>
      </c>
      <c r="C61" s="135" t="s">
        <v>89</v>
      </c>
      <c r="E61" s="91"/>
      <c r="F61" s="89"/>
      <c r="G61" s="91"/>
      <c r="H61" s="91"/>
      <c r="I61" s="91"/>
      <c r="J61" s="91"/>
      <c r="K61" s="91"/>
      <c r="L61" s="91"/>
      <c r="M61" s="91"/>
      <c r="N61" s="91"/>
      <c r="O61" s="91"/>
    </row>
    <row r="62">
      <c r="A62" s="88"/>
      <c r="B62" s="7" t="s">
        <v>90</v>
      </c>
      <c r="C62" s="135" t="s">
        <v>91</v>
      </c>
      <c r="E62" s="91"/>
      <c r="F62" s="89"/>
      <c r="G62" s="91"/>
      <c r="H62" s="91"/>
      <c r="I62" s="91"/>
      <c r="J62" s="91"/>
      <c r="K62" s="91"/>
      <c r="L62" s="91"/>
      <c r="M62" s="91"/>
      <c r="N62" s="91"/>
      <c r="O62" s="91"/>
    </row>
    <row r="63">
      <c r="A63" s="88"/>
      <c r="B63" s="88"/>
      <c r="C63" s="91"/>
      <c r="D63" s="140"/>
      <c r="E63" s="91"/>
      <c r="F63" s="91"/>
      <c r="G63" s="89"/>
      <c r="H63" s="89"/>
      <c r="I63" s="89"/>
      <c r="J63" s="89"/>
      <c r="K63" s="89"/>
      <c r="L63" s="89"/>
      <c r="M63" s="89"/>
      <c r="N63" s="89"/>
      <c r="O63" s="89"/>
    </row>
    <row r="64">
      <c r="A64" s="88"/>
      <c r="B64" s="88"/>
      <c r="C64" s="91"/>
      <c r="D64" s="140"/>
      <c r="E64" s="91"/>
      <c r="F64" s="91"/>
      <c r="G64" s="89"/>
      <c r="H64" s="89"/>
      <c r="I64" s="89"/>
      <c r="J64" s="89"/>
      <c r="K64" s="89"/>
      <c r="L64" s="89"/>
      <c r="M64" s="89"/>
      <c r="N64" s="89"/>
      <c r="O64" s="89"/>
    </row>
  </sheetData>
  <autoFilter ref="$B$35:$D$46">
    <sortState ref="B35:D46">
      <sortCondition ref="D35:D46"/>
      <sortCondition ref="B35:B46"/>
      <sortCondition descending="1" ref="C35:C46"/>
    </sortState>
  </autoFilter>
  <mergeCells count="11">
    <mergeCell ref="E29:F29"/>
    <mergeCell ref="B31:F31"/>
    <mergeCell ref="C32:C33"/>
    <mergeCell ref="E32:E33"/>
    <mergeCell ref="B2:F2"/>
    <mergeCell ref="H2:N2"/>
    <mergeCell ref="B22:F22"/>
    <mergeCell ref="B27:F27"/>
    <mergeCell ref="B28:C28"/>
    <mergeCell ref="E28:F28"/>
    <mergeCell ref="B29:C29"/>
  </mergeCells>
  <dataValidations>
    <dataValidation type="list" allowBlank="1" showErrorMessage="1" sqref="D36:D46">
      <formula1>"Yes,No,Confirmed,unk"</formula1>
    </dataValidation>
  </dataValidations>
  <hyperlinks>
    <hyperlink r:id="rId1" ref="C35"/>
    <hyperlink r:id="rId2" ref="C50"/>
    <hyperlink r:id="rId3" ref="C51"/>
    <hyperlink r:id="rId4" ref="C55"/>
    <hyperlink r:id="rId5" ref="C56"/>
    <hyperlink r:id="rId6" ref="C57"/>
    <hyperlink r:id="rId7" ref="C58"/>
    <hyperlink r:id="rId8" ref="C59"/>
    <hyperlink r:id="rId9" ref="C60"/>
    <hyperlink r:id="rId10" location="/search" ref="C61"/>
    <hyperlink r:id="rId11" ref="C62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11.5"/>
    <col customWidth="1" min="3" max="3" width="4.0"/>
    <col customWidth="1" min="4" max="4" width="10.5"/>
    <col customWidth="1" min="5" max="5" width="4.0"/>
    <col customWidth="1" min="6" max="6" width="10.88"/>
    <col customWidth="1" min="7" max="7" width="2.13"/>
    <col customWidth="1" min="8" max="8" width="6.63"/>
    <col customWidth="1" min="9" max="9" width="5.38"/>
    <col customWidth="1" min="10" max="10" width="6.5"/>
    <col customWidth="1" min="11" max="11" width="0.88"/>
    <col customWidth="1" min="12" max="12" width="6.13"/>
    <col customWidth="1" min="13" max="13" width="5.38"/>
    <col customWidth="1" min="14" max="14" width="6.5"/>
    <col customWidth="1" min="15" max="15" width="6.38"/>
  </cols>
  <sheetData>
    <row r="1">
      <c r="A1" s="83"/>
      <c r="B1" s="84"/>
      <c r="C1" s="84"/>
      <c r="D1" s="84"/>
      <c r="E1" s="84"/>
      <c r="F1" s="84"/>
      <c r="G1" s="85"/>
      <c r="H1" s="86"/>
      <c r="I1" s="86"/>
      <c r="J1" s="86"/>
      <c r="K1" s="86"/>
      <c r="L1" s="86"/>
      <c r="M1" s="86"/>
      <c r="N1" s="86"/>
      <c r="O1" s="85"/>
    </row>
    <row r="2">
      <c r="A2" s="83"/>
      <c r="B2" s="87" t="s">
        <v>92</v>
      </c>
      <c r="C2" s="20"/>
      <c r="D2" s="20"/>
      <c r="E2" s="20"/>
      <c r="F2" s="21"/>
      <c r="G2" s="85"/>
      <c r="H2" s="86" t="s">
        <v>60</v>
      </c>
      <c r="O2" s="85"/>
    </row>
    <row r="3" ht="7.5" customHeigh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</row>
    <row r="4">
      <c r="A4" s="90"/>
      <c r="B4" s="90"/>
      <c r="C4" s="90"/>
      <c r="D4" s="90"/>
      <c r="E4" s="90"/>
      <c r="F4" s="90"/>
      <c r="G4" s="91"/>
      <c r="H4" s="91"/>
      <c r="I4" s="91"/>
      <c r="J4" s="91"/>
      <c r="K4" s="91"/>
      <c r="L4" s="91"/>
      <c r="M4" s="91"/>
      <c r="N4" s="91"/>
      <c r="O4" s="91"/>
    </row>
    <row r="5">
      <c r="A5" s="90"/>
      <c r="B5" s="141">
        <v>0.7361111111111112</v>
      </c>
      <c r="C5" s="20"/>
      <c r="D5" s="20"/>
      <c r="E5" s="20"/>
      <c r="F5" s="21"/>
      <c r="G5" s="89"/>
      <c r="H5" s="142" t="str">
        <f t="array" ref="H5">INDEX(B6:F6, MATCH(MIN(B7:F7), B7:F7, 0))</f>
        <v>Bryan</v>
      </c>
      <c r="I5" s="143" t="s">
        <v>67</v>
      </c>
      <c r="J5" s="144"/>
      <c r="K5" s="116"/>
      <c r="L5" s="116"/>
      <c r="M5" s="116"/>
      <c r="N5" s="116"/>
      <c r="O5" s="91"/>
    </row>
    <row r="6">
      <c r="A6" s="90"/>
      <c r="B6" s="94" t="s">
        <v>22</v>
      </c>
      <c r="C6" s="145" t="s">
        <v>62</v>
      </c>
      <c r="D6" s="117" t="s">
        <v>21</v>
      </c>
      <c r="E6" s="145" t="s">
        <v>62</v>
      </c>
      <c r="F6" s="98" t="s">
        <v>25</v>
      </c>
      <c r="G6" s="89"/>
      <c r="H6" s="146" t="str">
        <f t="array" ref="H6">INDEX(B6:F6, MATCH(MEDIAN(B7:F7), B7:F7, 0))</f>
        <v>Joe</v>
      </c>
      <c r="I6" s="147">
        <f>MEDIAN(B6:F7)-MIN(B6:F7)</f>
        <v>2</v>
      </c>
      <c r="J6" s="148" t="s">
        <v>68</v>
      </c>
      <c r="K6" s="116"/>
      <c r="L6" s="142" t="str">
        <f t="array" ref="L6">INDEX(B6:F6, MATCH(MEDIAN(B7:F7), B7:F7, 0))</f>
        <v>Joe</v>
      </c>
      <c r="M6" s="143" t="s">
        <v>67</v>
      </c>
      <c r="N6" s="149"/>
      <c r="O6" s="91"/>
    </row>
    <row r="7">
      <c r="A7" s="90"/>
      <c r="B7" s="104">
        <f t="array" ref="B7">ROUNDUP(XLOOKUP(B6,'0512 Match Generator'!$B$47:$B$57,'0512 Match Generator'!$C$47:$C$57)/2,0)</f>
        <v>7</v>
      </c>
      <c r="C7" s="122"/>
      <c r="D7" s="123">
        <f t="array" ref="D7">ROUNDUP(XLOOKUP(D6,'0512 Match Generator'!$B$47:$B$57,'0512 Match Generator'!$C$47:$C$57)/2,0)</f>
        <v>9</v>
      </c>
      <c r="E7" s="122"/>
      <c r="F7" s="108">
        <f t="array" ref="F7">ROUNDUP(XLOOKUP(F6,'0512 Match Generator'!$B$47:$B$57,'0512 Match Generator'!$C$47:$C$57)/2,0)</f>
        <v>14</v>
      </c>
      <c r="G7" s="89"/>
      <c r="H7" s="150" t="str">
        <f t="array" ref="H7">INDEX(B6:F6, MATCH(MAX(B7:F7), B7:F7, 0))</f>
        <v>John</v>
      </c>
      <c r="I7" s="151">
        <f>MAX(B6:F7)-MIN(B6:F7)</f>
        <v>7</v>
      </c>
      <c r="J7" s="152" t="s">
        <v>68</v>
      </c>
      <c r="K7" s="91"/>
      <c r="L7" s="150" t="str">
        <f t="array" ref="L7">INDEX(B6:F6, MATCH(MAX(B7:F7), B7:F7, 0))</f>
        <v>John</v>
      </c>
      <c r="M7" s="151">
        <f>MAX(B6:F7)-MEDIAN(B6:F7)</f>
        <v>5</v>
      </c>
      <c r="N7" s="152" t="s">
        <v>68</v>
      </c>
      <c r="O7" s="91"/>
    </row>
    <row r="8">
      <c r="A8" s="90"/>
      <c r="B8" s="88"/>
      <c r="C8" s="88"/>
      <c r="D8" s="88"/>
      <c r="E8" s="88"/>
      <c r="F8" s="88"/>
      <c r="G8" s="91"/>
      <c r="H8" s="91"/>
      <c r="I8" s="91"/>
      <c r="J8" s="91"/>
      <c r="K8" s="91"/>
      <c r="L8" s="91"/>
      <c r="M8" s="91"/>
      <c r="N8" s="91"/>
      <c r="O8" s="91"/>
    </row>
    <row r="9">
      <c r="A9" s="90"/>
      <c r="B9" s="141">
        <v>0.7430555555555556</v>
      </c>
      <c r="C9" s="20"/>
      <c r="D9" s="20"/>
      <c r="E9" s="20"/>
      <c r="F9" s="21"/>
      <c r="G9" s="89"/>
      <c r="H9" s="142" t="str">
        <f t="array" ref="H9">INDEX(B10:F10, MATCH(MIN(B11:F11), B11:F11, 0))</f>
        <v>Brandt</v>
      </c>
      <c r="I9" s="143" t="s">
        <v>67</v>
      </c>
      <c r="J9" s="144"/>
      <c r="K9" s="116"/>
      <c r="L9" s="116"/>
      <c r="M9" s="116"/>
      <c r="N9" s="116"/>
      <c r="O9" s="91"/>
    </row>
    <row r="10">
      <c r="A10" s="90"/>
      <c r="B10" s="94" t="s">
        <v>26</v>
      </c>
      <c r="C10" s="145" t="s">
        <v>62</v>
      </c>
      <c r="D10" s="117" t="s">
        <v>20</v>
      </c>
      <c r="E10" s="145" t="s">
        <v>62</v>
      </c>
      <c r="F10" s="98" t="s">
        <v>27</v>
      </c>
      <c r="G10" s="89"/>
      <c r="H10" s="146" t="str">
        <f t="array" ref="H10">INDEX(B10:F10, MATCH(MEDIAN(B11:F11), B11:F11, 0))</f>
        <v>Bird</v>
      </c>
      <c r="I10" s="147">
        <f>MEDIAN(B10:F11)-MIN(B10:F11)</f>
        <v>4</v>
      </c>
      <c r="J10" s="148" t="s">
        <v>68</v>
      </c>
      <c r="K10" s="116"/>
      <c r="L10" s="142" t="str">
        <f t="array" ref="L10">INDEX(B10:F10, MATCH(MEDIAN(B11:F11), B11:F11, 0))</f>
        <v>Bird</v>
      </c>
      <c r="M10" s="143" t="s">
        <v>67</v>
      </c>
      <c r="N10" s="149"/>
      <c r="O10" s="91"/>
    </row>
    <row r="11">
      <c r="A11" s="90"/>
      <c r="B11" s="104">
        <f t="array" ref="B11">ROUNDUP(XLOOKUP(B10,'0512 Match Generator'!$B$47:$B$57,'0512 Match Generator'!$C$47:$C$57)/2,0)</f>
        <v>5</v>
      </c>
      <c r="C11" s="122"/>
      <c r="D11" s="123">
        <f t="array" ref="D11">ROUNDUP(XLOOKUP(D10,'0512 Match Generator'!$B$47:$B$57,'0512 Match Generator'!$C$47:$C$57)/2,0)</f>
        <v>9</v>
      </c>
      <c r="E11" s="122"/>
      <c r="F11" s="108">
        <f t="array" ref="F11">ROUNDUP(XLOOKUP(F10,'0512 Match Generator'!$B$47:$B$57,'0512 Match Generator'!$C$47:$C$57)/2,0)</f>
        <v>14</v>
      </c>
      <c r="G11" s="89"/>
      <c r="H11" s="150" t="str">
        <f t="array" ref="H11">INDEX(B10:F10, MATCH(MAX(B11:F11), B11:F11, 0))</f>
        <v>Hunter</v>
      </c>
      <c r="I11" s="151">
        <f>MAX(B10:F11)-MIN(B10:F11)</f>
        <v>9</v>
      </c>
      <c r="J11" s="152" t="s">
        <v>68</v>
      </c>
      <c r="K11" s="91"/>
      <c r="L11" s="150" t="str">
        <f t="array" ref="L11">INDEX(B10:F10, MATCH(MAX(B11:F11), B11:F11, 0))</f>
        <v>Hunter</v>
      </c>
      <c r="M11" s="151">
        <f>MAX(B10:F11)-MEDIAN(B10:F11)</f>
        <v>5</v>
      </c>
      <c r="N11" s="152" t="s">
        <v>68</v>
      </c>
      <c r="O11" s="91"/>
    </row>
    <row r="12">
      <c r="A12" s="90"/>
      <c r="B12" s="88"/>
      <c r="C12" s="88"/>
      <c r="D12" s="88"/>
      <c r="E12" s="88"/>
      <c r="F12" s="88"/>
      <c r="G12" s="91"/>
      <c r="H12" s="91"/>
      <c r="I12" s="91"/>
      <c r="J12" s="91"/>
      <c r="K12" s="91"/>
      <c r="L12" s="91"/>
      <c r="M12" s="91"/>
      <c r="N12" s="91"/>
      <c r="O12" s="91"/>
    </row>
    <row r="13">
      <c r="A13" s="90"/>
      <c r="B13" s="141">
        <v>0.75</v>
      </c>
      <c r="C13" s="20"/>
      <c r="D13" s="20"/>
      <c r="E13" s="20"/>
      <c r="F13" s="21"/>
      <c r="G13" s="89"/>
      <c r="H13" s="142" t="str">
        <f t="array" ref="H13">INDEX(B14:F14, MATCH(MIN(B15:F15), B15:F15, 0))</f>
        <v>Joey</v>
      </c>
      <c r="I13" s="143" t="s">
        <v>67</v>
      </c>
      <c r="J13" s="144"/>
      <c r="K13" s="116"/>
      <c r="L13" s="116"/>
      <c r="M13" s="116"/>
      <c r="N13" s="116"/>
      <c r="O13" s="116"/>
    </row>
    <row r="14">
      <c r="A14" s="90"/>
      <c r="B14" s="94" t="s">
        <v>23</v>
      </c>
      <c r="C14" s="145" t="s">
        <v>62</v>
      </c>
      <c r="D14" s="117" t="s">
        <v>19</v>
      </c>
      <c r="E14" s="145" t="s">
        <v>62</v>
      </c>
      <c r="F14" s="98" t="s">
        <v>24</v>
      </c>
      <c r="G14" s="89"/>
      <c r="H14" s="146" t="str">
        <f t="array" ref="H14">INDEX(B14:F14, MATCH(MEDIAN(B15:F15), B15:F15, 0))</f>
        <v>GT</v>
      </c>
      <c r="I14" s="147">
        <f>MEDIAN(B14:F15)-MIN(B14:F15)</f>
        <v>1</v>
      </c>
      <c r="J14" s="148" t="s">
        <v>68</v>
      </c>
      <c r="K14" s="116"/>
      <c r="L14" s="142" t="str">
        <f t="array" ref="L14">INDEX(B14:F14, MATCH(MEDIAN(B15:F15), B15:F15, 0))</f>
        <v>GT</v>
      </c>
      <c r="M14" s="143" t="s">
        <v>67</v>
      </c>
      <c r="N14" s="149"/>
      <c r="O14" s="116"/>
    </row>
    <row r="15">
      <c r="A15" s="90"/>
      <c r="B15" s="104">
        <f t="array" ref="B15">ROUNDUP(XLOOKUP(B14,'0512 Match Generator'!$B$47:$B$57,'0512 Match Generator'!$C$47:$C$57)/2,0)</f>
        <v>7</v>
      </c>
      <c r="C15" s="122"/>
      <c r="D15" s="123">
        <f t="array" ref="D15">ROUNDUP(XLOOKUP(D14,'0512 Match Generator'!$B$47:$B$57,'0512 Match Generator'!$C$47:$C$57)/2,0)</f>
        <v>11</v>
      </c>
      <c r="E15" s="122"/>
      <c r="F15" s="108">
        <f t="array" ref="F15">ROUNDUP(XLOOKUP(F14,'0512 Match Generator'!$B$47:$B$57,'0512 Match Generator'!$C$47:$C$57)/2,0)</f>
        <v>6</v>
      </c>
      <c r="G15" s="89"/>
      <c r="H15" s="150" t="str">
        <f t="array" ref="H15">INDEX(B14:F14, MATCH(MAX(B15:F15), B15:F15, 0))</f>
        <v>Zach</v>
      </c>
      <c r="I15" s="151">
        <f>MAX(B14:F15)-MIN(B14:F15)</f>
        <v>5</v>
      </c>
      <c r="J15" s="152" t="s">
        <v>68</v>
      </c>
      <c r="K15" s="91"/>
      <c r="L15" s="150" t="str">
        <f t="array" ref="L15">INDEX(B14:F14, MATCH(MAX(B15:F15), B15:F15, 0))</f>
        <v>Zach</v>
      </c>
      <c r="M15" s="151">
        <f>MAX(B14:F15)-MEDIAN(B14:F15)</f>
        <v>4</v>
      </c>
      <c r="N15" s="152" t="s">
        <v>68</v>
      </c>
      <c r="O15" s="116"/>
    </row>
    <row r="16">
      <c r="A16" s="90"/>
      <c r="B16" s="88"/>
      <c r="C16" s="88"/>
      <c r="D16" s="88"/>
      <c r="E16" s="88"/>
      <c r="F16" s="88"/>
      <c r="G16" s="91"/>
      <c r="H16" s="91"/>
      <c r="I16" s="91"/>
      <c r="J16" s="91"/>
      <c r="K16" s="91"/>
      <c r="L16" s="91"/>
      <c r="M16" s="91"/>
      <c r="N16" s="91"/>
      <c r="O16" s="91"/>
    </row>
    <row r="17">
      <c r="A17" s="90"/>
      <c r="B17" s="90"/>
      <c r="C17" s="90"/>
      <c r="D17" s="90"/>
      <c r="E17" s="90"/>
      <c r="F17" s="90"/>
      <c r="G17" s="91"/>
      <c r="H17" s="91"/>
      <c r="I17" s="91"/>
      <c r="J17" s="91"/>
      <c r="K17" s="91"/>
      <c r="L17" s="91"/>
      <c r="M17" s="91"/>
      <c r="N17" s="91"/>
      <c r="O17" s="91"/>
    </row>
    <row r="18">
      <c r="A18" s="90"/>
      <c r="B18" s="90"/>
      <c r="C18" s="90"/>
      <c r="D18" s="90"/>
      <c r="E18" s="90"/>
      <c r="F18" s="90"/>
      <c r="G18" s="91"/>
      <c r="H18" s="91"/>
      <c r="I18" s="91"/>
      <c r="J18" s="91"/>
      <c r="K18" s="91"/>
      <c r="L18" s="91"/>
      <c r="M18" s="91"/>
      <c r="N18" s="91"/>
      <c r="O18" s="91"/>
    </row>
    <row r="19">
      <c r="A19" s="90"/>
      <c r="B19" s="90"/>
      <c r="C19" s="90"/>
      <c r="D19" s="90"/>
      <c r="E19" s="90"/>
      <c r="F19" s="90"/>
      <c r="G19" s="91"/>
      <c r="H19" s="91"/>
      <c r="I19" s="91"/>
      <c r="J19" s="91"/>
      <c r="K19" s="91"/>
      <c r="L19" s="91"/>
      <c r="M19" s="91"/>
      <c r="N19" s="91"/>
      <c r="O19" s="91"/>
    </row>
    <row r="20">
      <c r="A20" s="90"/>
      <c r="B20" s="90"/>
      <c r="C20" s="90"/>
      <c r="D20" s="90"/>
      <c r="E20" s="90"/>
      <c r="F20" s="90"/>
      <c r="G20" s="91"/>
      <c r="H20" s="91"/>
      <c r="I20" s="91"/>
      <c r="J20" s="91"/>
      <c r="K20" s="91"/>
      <c r="L20" s="91"/>
      <c r="M20" s="91"/>
      <c r="N20" s="91"/>
      <c r="O20" s="91"/>
    </row>
    <row r="21">
      <c r="A21" s="90"/>
      <c r="B21" s="90"/>
      <c r="C21" s="90"/>
      <c r="D21" s="90"/>
      <c r="E21" s="90"/>
      <c r="F21" s="90"/>
      <c r="G21" s="91"/>
      <c r="H21" s="91"/>
      <c r="I21" s="91"/>
      <c r="J21" s="91"/>
      <c r="K21" s="91"/>
      <c r="L21" s="91"/>
      <c r="M21" s="91"/>
      <c r="N21" s="91"/>
      <c r="O21" s="91"/>
    </row>
    <row r="22">
      <c r="A22" s="90"/>
      <c r="B22" s="90"/>
      <c r="C22" s="90"/>
      <c r="D22" s="90"/>
      <c r="E22" s="90"/>
      <c r="F22" s="90"/>
      <c r="G22" s="91"/>
      <c r="H22" s="91"/>
      <c r="I22" s="91"/>
      <c r="J22" s="91"/>
      <c r="K22" s="91"/>
      <c r="L22" s="91"/>
      <c r="M22" s="91"/>
      <c r="N22" s="91"/>
      <c r="O22" s="91"/>
    </row>
    <row r="23">
      <c r="A23" s="90"/>
      <c r="B23" s="90"/>
      <c r="C23" s="90"/>
      <c r="D23" s="90"/>
      <c r="E23" s="90"/>
      <c r="F23" s="90"/>
      <c r="G23" s="91"/>
      <c r="H23" s="91"/>
      <c r="I23" s="91"/>
      <c r="J23" s="91"/>
      <c r="K23" s="91"/>
      <c r="L23" s="91"/>
      <c r="M23" s="91"/>
      <c r="N23" s="91"/>
      <c r="O23" s="91"/>
    </row>
    <row r="24">
      <c r="A24" s="90"/>
      <c r="B24" s="90"/>
      <c r="C24" s="90"/>
      <c r="D24" s="90"/>
      <c r="E24" s="90"/>
      <c r="F24" s="90"/>
      <c r="G24" s="91"/>
      <c r="H24" s="91"/>
      <c r="I24" s="91"/>
      <c r="J24" s="91"/>
      <c r="K24" s="91"/>
      <c r="L24" s="91"/>
      <c r="M24" s="91"/>
      <c r="N24" s="91"/>
      <c r="O24" s="91"/>
    </row>
    <row r="25">
      <c r="A25" s="90"/>
      <c r="B25" s="90"/>
      <c r="C25" s="90"/>
      <c r="D25" s="90"/>
      <c r="E25" s="90"/>
      <c r="F25" s="90"/>
      <c r="G25" s="91"/>
      <c r="H25" s="91"/>
      <c r="I25" s="91"/>
      <c r="J25" s="91"/>
      <c r="K25" s="91"/>
      <c r="L25" s="91"/>
      <c r="M25" s="91"/>
      <c r="N25" s="91"/>
      <c r="O25" s="91"/>
    </row>
    <row r="26">
      <c r="A26" s="90"/>
      <c r="B26" s="90"/>
      <c r="C26" s="90"/>
      <c r="D26" s="90"/>
      <c r="E26" s="90"/>
      <c r="F26" s="90"/>
      <c r="G26" s="91"/>
      <c r="H26" s="91"/>
      <c r="I26" s="91"/>
      <c r="J26" s="91"/>
      <c r="K26" s="91"/>
      <c r="L26" s="91"/>
      <c r="M26" s="91"/>
      <c r="N26" s="91"/>
      <c r="O26" s="91"/>
    </row>
    <row r="27">
      <c r="A27" s="90"/>
      <c r="B27" s="90"/>
      <c r="C27" s="90"/>
      <c r="D27" s="90"/>
      <c r="E27" s="90"/>
      <c r="F27" s="90"/>
      <c r="G27" s="91"/>
      <c r="H27" s="91"/>
      <c r="I27" s="91"/>
      <c r="J27" s="91"/>
      <c r="K27" s="91"/>
      <c r="L27" s="91"/>
      <c r="M27" s="91"/>
      <c r="N27" s="91"/>
      <c r="O27" s="91"/>
    </row>
    <row r="28">
      <c r="A28" s="90"/>
      <c r="B28" s="90"/>
      <c r="C28" s="90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</row>
    <row r="29">
      <c r="A29" s="90"/>
      <c r="B29" s="90"/>
      <c r="C29" s="90"/>
      <c r="D29" s="90"/>
      <c r="E29" s="90"/>
      <c r="F29" s="90"/>
      <c r="G29" s="91"/>
      <c r="H29" s="91"/>
      <c r="I29" s="91"/>
      <c r="J29" s="91"/>
      <c r="K29" s="91"/>
      <c r="L29" s="91"/>
      <c r="M29" s="91"/>
      <c r="N29" s="91"/>
      <c r="O29" s="91"/>
    </row>
    <row r="30">
      <c r="A30" s="90"/>
      <c r="B30" s="90"/>
      <c r="C30" s="90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</row>
    <row r="31">
      <c r="A31" s="90"/>
      <c r="B31" s="90"/>
      <c r="C31" s="90"/>
      <c r="D31" s="90"/>
      <c r="E31" s="90"/>
      <c r="F31" s="90"/>
      <c r="G31" s="91"/>
      <c r="H31" s="91"/>
      <c r="I31" s="91"/>
      <c r="J31" s="91"/>
      <c r="K31" s="91"/>
      <c r="L31" s="91"/>
      <c r="M31" s="91"/>
      <c r="N31" s="91"/>
      <c r="O31" s="91"/>
    </row>
    <row r="32">
      <c r="A32" s="88"/>
      <c r="B32" s="92"/>
      <c r="C32" s="92"/>
      <c r="D32" s="92"/>
      <c r="E32" s="92"/>
      <c r="F32" s="92"/>
      <c r="G32" s="89"/>
      <c r="H32" s="89"/>
      <c r="I32" s="89"/>
      <c r="J32" s="89"/>
      <c r="K32" s="89"/>
      <c r="L32" s="89"/>
      <c r="M32" s="89"/>
      <c r="N32" s="89"/>
      <c r="O32" s="89"/>
    </row>
    <row r="33">
      <c r="A33" s="88"/>
      <c r="B33" s="93" t="s">
        <v>61</v>
      </c>
      <c r="C33" s="20"/>
      <c r="D33" s="20"/>
      <c r="E33" s="20"/>
      <c r="F33" s="21"/>
      <c r="G33" s="89"/>
      <c r="H33" s="89"/>
      <c r="I33" s="89"/>
      <c r="J33" s="89"/>
      <c r="K33" s="89"/>
      <c r="L33" s="89"/>
      <c r="M33" s="89"/>
      <c r="N33" s="89"/>
      <c r="O33" s="89"/>
    </row>
    <row r="34">
      <c r="A34" s="88"/>
      <c r="B34" s="94"/>
      <c r="C34" s="95"/>
      <c r="D34" s="96" t="s">
        <v>62</v>
      </c>
      <c r="E34" s="97"/>
      <c r="F34" s="98"/>
      <c r="G34" s="89"/>
      <c r="H34" s="89"/>
      <c r="I34" s="89"/>
      <c r="J34" s="89"/>
      <c r="K34" s="89"/>
      <c r="L34" s="89"/>
      <c r="M34" s="89"/>
      <c r="N34" s="89"/>
      <c r="O34" s="89"/>
    </row>
    <row r="35">
      <c r="A35" s="88"/>
      <c r="B35" s="99" t="str">
        <f t="array" ref="B35">ROUNDUP(XLOOKUP(B34,'0512 Match Generator'!$B$47:$B$57,'0512 Match Generator'!$C$47:$C$57)/2,0)</f>
        <v>#N/A</v>
      </c>
      <c r="C35" s="100" t="str">
        <f t="array" ref="C35">ROUNDUP(XLOOKUP(C34,'0512 Match Generator'!$B$47:$B$57,'0512 Match Generator'!$C$47:$C$57)/2,0)</f>
        <v>#N/A</v>
      </c>
      <c r="D35" s="101" t="s">
        <v>63</v>
      </c>
      <c r="E35" s="102" t="str">
        <f t="array" ref="E35">ROUNDUP(XLOOKUP(E34,'0512 Match Generator'!$B$47:$B$57,'0512 Match Generator'!$C$47:$C$57)/2,0)</f>
        <v>#N/A</v>
      </c>
      <c r="F35" s="103" t="str">
        <f t="array" ref="F35">ROUNDUP(XLOOKUP(F34,'0512 Match Generator'!$B$47:$B$57,'0512 Match Generator'!$C$47:$C$57)/2,0)</f>
        <v>#N/A</v>
      </c>
      <c r="G35" s="89"/>
      <c r="H35" s="89"/>
      <c r="I35" s="89"/>
      <c r="J35" s="89"/>
      <c r="K35" s="89"/>
      <c r="L35" s="89"/>
      <c r="M35" s="89"/>
      <c r="N35" s="89"/>
      <c r="O35" s="89"/>
    </row>
    <row r="36">
      <c r="A36" s="88"/>
      <c r="B36" s="104" t="s">
        <v>64</v>
      </c>
      <c r="C36" s="105" t="str">
        <f>B35+C35</f>
        <v>#N/A</v>
      </c>
      <c r="D36" s="106" t="str">
        <f>ABS(C36-F36)</f>
        <v>#N/A</v>
      </c>
      <c r="E36" s="107" t="s">
        <v>64</v>
      </c>
      <c r="F36" s="108" t="str">
        <f>E35+F35</f>
        <v>#N/A</v>
      </c>
      <c r="G36" s="89"/>
      <c r="H36" s="89"/>
      <c r="I36" s="89"/>
      <c r="J36" s="89"/>
      <c r="K36" s="89"/>
      <c r="L36" s="89"/>
      <c r="M36" s="89"/>
      <c r="N36" s="89"/>
      <c r="O36" s="89"/>
    </row>
    <row r="37">
      <c r="A37" s="88"/>
      <c r="B37" s="88"/>
      <c r="C37" s="88"/>
      <c r="D37" s="88"/>
      <c r="E37" s="88"/>
      <c r="F37" s="88"/>
      <c r="G37" s="89"/>
      <c r="H37" s="89"/>
      <c r="I37" s="89"/>
      <c r="J37" s="89"/>
      <c r="K37" s="89"/>
      <c r="L37" s="89"/>
      <c r="M37" s="89"/>
      <c r="N37" s="89"/>
      <c r="O37" s="89"/>
    </row>
    <row r="38">
      <c r="A38" s="88"/>
      <c r="B38" s="93" t="s">
        <v>65</v>
      </c>
      <c r="C38" s="20"/>
      <c r="D38" s="20"/>
      <c r="E38" s="20"/>
      <c r="F38" s="21"/>
      <c r="G38" s="89"/>
      <c r="H38" s="89"/>
      <c r="I38" s="89"/>
      <c r="J38" s="89"/>
      <c r="K38" s="89"/>
      <c r="L38" s="89"/>
      <c r="M38" s="89"/>
      <c r="N38" s="89"/>
      <c r="O38" s="89"/>
    </row>
    <row r="39">
      <c r="A39" s="88"/>
      <c r="B39" s="94"/>
      <c r="C39" s="109"/>
      <c r="D39" s="96" t="s">
        <v>62</v>
      </c>
      <c r="E39" s="97"/>
      <c r="F39" s="110"/>
      <c r="G39" s="89"/>
      <c r="H39" s="89"/>
      <c r="I39" s="89"/>
      <c r="J39" s="89"/>
      <c r="K39" s="89"/>
      <c r="L39" s="89"/>
      <c r="M39" s="89"/>
      <c r="N39" s="89"/>
      <c r="O39" s="89"/>
    </row>
    <row r="40">
      <c r="A40" s="88"/>
      <c r="B40" s="104" t="str">
        <f t="array" ref="B40">ROUNDUP(XLOOKUP(B39,'0512 Match Generator'!$B$47:$B$57,'0512 Match Generator'!$C$47:$C$57)/2,0)</f>
        <v>#N/A</v>
      </c>
      <c r="C40" s="111"/>
      <c r="D40" s="106" t="str">
        <f>ABS(B40-E40)</f>
        <v>#N/A</v>
      </c>
      <c r="E40" s="107" t="str">
        <f t="array" ref="E40">ROUNDUP(XLOOKUP(E39,'0512 Match Generator'!$B$47:$B$57,'0512 Match Generator'!$C$47:$C$57)/2,0)</f>
        <v>#N/A</v>
      </c>
      <c r="F40" s="112"/>
      <c r="G40" s="89"/>
      <c r="H40" s="89"/>
      <c r="I40" s="89"/>
      <c r="J40" s="89"/>
      <c r="K40" s="89"/>
      <c r="L40" s="89"/>
      <c r="M40" s="89"/>
      <c r="N40" s="89"/>
      <c r="O40" s="89"/>
    </row>
    <row r="41">
      <c r="A41" s="88"/>
      <c r="B41" s="88"/>
      <c r="C41" s="88"/>
      <c r="D41" s="88"/>
      <c r="E41" s="88"/>
      <c r="F41" s="88"/>
      <c r="G41" s="89"/>
      <c r="H41" s="89"/>
      <c r="I41" s="89"/>
      <c r="J41" s="89"/>
      <c r="K41" s="89"/>
      <c r="L41" s="89"/>
      <c r="M41" s="89"/>
      <c r="N41" s="89"/>
      <c r="O41" s="89"/>
    </row>
    <row r="42">
      <c r="A42" s="88"/>
      <c r="B42" s="93" t="s">
        <v>66</v>
      </c>
      <c r="C42" s="20"/>
      <c r="D42" s="20"/>
      <c r="E42" s="20"/>
      <c r="F42" s="21"/>
      <c r="G42" s="89"/>
      <c r="H42" s="113" t="str">
        <f t="array" ref="H42">INDEX(B43:F43, MATCH(MIN(B44:F44), B44:F44, 0))</f>
        <v>#N/A</v>
      </c>
      <c r="I42" s="114" t="s">
        <v>67</v>
      </c>
      <c r="J42" s="115"/>
      <c r="K42" s="116"/>
      <c r="L42" s="116"/>
      <c r="M42" s="116"/>
      <c r="N42" s="116"/>
      <c r="O42" s="89"/>
    </row>
    <row r="43">
      <c r="A43" s="88"/>
      <c r="B43" s="94"/>
      <c r="C43" s="96" t="s">
        <v>62</v>
      </c>
      <c r="D43" s="117"/>
      <c r="E43" s="96" t="s">
        <v>62</v>
      </c>
      <c r="F43" s="98"/>
      <c r="G43" s="89"/>
      <c r="H43" s="118" t="str">
        <f t="array" ref="H43">INDEX(B43:F43, MATCH(MEDIAN(B44:F44), B44:F44, 0))</f>
        <v>#N/A</v>
      </c>
      <c r="I43" s="119" t="str">
        <f>MEDIAN(B43:F44)-MIN(B43:F44)</f>
        <v>#N/A</v>
      </c>
      <c r="J43" s="120" t="s">
        <v>68</v>
      </c>
      <c r="K43" s="116"/>
      <c r="L43" s="113" t="str">
        <f t="array" ref="L43">INDEX(B43:F43, MATCH(MEDIAN(B44:F44), B44:F44, 0))</f>
        <v>#N/A</v>
      </c>
      <c r="M43" s="114" t="s">
        <v>67</v>
      </c>
      <c r="N43" s="121"/>
      <c r="O43" s="89"/>
    </row>
    <row r="44">
      <c r="A44" s="88"/>
      <c r="B44" s="104" t="str">
        <f t="array" ref="B44">ROUNDUP(XLOOKUP(B43,'0512 Match Generator'!$B$47:$B$57,'0512 Match Generator'!$C$47:$C$57)/2,0)</f>
        <v>#N/A</v>
      </c>
      <c r="C44" s="122"/>
      <c r="D44" s="123" t="str">
        <f t="array" ref="D44">ROUNDUP(XLOOKUP(D43,'0512 Match Generator'!$B$47:$B$57,'0512 Match Generator'!$C$47:$C$57)/2,0)</f>
        <v>#N/A</v>
      </c>
      <c r="E44" s="122"/>
      <c r="F44" s="108" t="str">
        <f t="array" ref="F44">ROUNDUP(XLOOKUP(F43,'0512 Match Generator'!$B$47:$B$57,'0512 Match Generator'!$C$47:$C$57)/2,0)</f>
        <v>#N/A</v>
      </c>
      <c r="G44" s="89"/>
      <c r="H44" s="124" t="str">
        <f t="array" ref="H44">INDEX(B43:F43, MATCH(MAX(B44:F44), B44:F44, 0))</f>
        <v>#N/A</v>
      </c>
      <c r="I44" s="125" t="str">
        <f>MAX(B43:F44)-MIN(B43:F44)</f>
        <v>#N/A</v>
      </c>
      <c r="J44" s="126" t="s">
        <v>68</v>
      </c>
      <c r="K44" s="91"/>
      <c r="L44" s="124" t="str">
        <f t="array" ref="L44">INDEX(B43:F43, MATCH(MAX(B44:F44), B44:F44, 0))</f>
        <v>#N/A</v>
      </c>
      <c r="M44" s="125" t="str">
        <f>MAX(B43:F44)-MEDIAN(B43:F44)</f>
        <v>#N/A</v>
      </c>
      <c r="N44" s="126" t="s">
        <v>68</v>
      </c>
      <c r="O44" s="89"/>
    </row>
    <row r="45">
      <c r="A45" s="88"/>
      <c r="B45" s="88"/>
      <c r="C45" s="88"/>
      <c r="D45" s="88"/>
      <c r="E45" s="88"/>
      <c r="F45" s="88"/>
      <c r="G45" s="89"/>
      <c r="H45" s="89"/>
      <c r="I45" s="89"/>
      <c r="J45" s="89"/>
      <c r="K45" s="89"/>
      <c r="L45" s="89"/>
      <c r="M45" s="89"/>
      <c r="N45" s="89"/>
      <c r="O45" s="89"/>
    </row>
    <row r="46">
      <c r="A46" s="88"/>
      <c r="B46" s="127"/>
      <c r="C46" s="128" t="s">
        <v>69</v>
      </c>
      <c r="D46" s="129"/>
      <c r="E46" s="88"/>
      <c r="F46" s="88"/>
      <c r="G46" s="89"/>
      <c r="H46" s="89"/>
      <c r="I46" s="89"/>
      <c r="J46" s="89"/>
      <c r="K46" s="89"/>
      <c r="L46" s="89"/>
      <c r="M46" s="89"/>
      <c r="N46" s="89"/>
      <c r="O46" s="89"/>
    </row>
    <row r="47">
      <c r="A47" s="88"/>
      <c r="B47" s="36" t="s">
        <v>20</v>
      </c>
      <c r="C47" s="36">
        <v>16.8</v>
      </c>
      <c r="D47" s="36" t="s">
        <v>53</v>
      </c>
      <c r="E47" s="130"/>
      <c r="F47" s="130"/>
      <c r="G47" s="89"/>
      <c r="H47" s="89"/>
      <c r="I47" s="89"/>
      <c r="J47" s="89"/>
      <c r="K47" s="89"/>
      <c r="L47" s="89"/>
      <c r="M47" s="89"/>
      <c r="N47" s="89"/>
      <c r="O47" s="89"/>
    </row>
    <row r="48">
      <c r="A48" s="88"/>
      <c r="B48" s="36" t="s">
        <v>26</v>
      </c>
      <c r="C48" s="36">
        <v>9.1</v>
      </c>
      <c r="D48" s="36" t="s">
        <v>53</v>
      </c>
      <c r="E48" s="130"/>
      <c r="F48" s="130"/>
      <c r="G48" s="89"/>
      <c r="H48" s="89"/>
      <c r="I48" s="89"/>
      <c r="J48" s="89"/>
      <c r="K48" s="89"/>
      <c r="L48" s="89"/>
      <c r="M48" s="89"/>
      <c r="N48" s="89"/>
      <c r="O48" s="89"/>
    </row>
    <row r="49">
      <c r="A49" s="88"/>
      <c r="B49" s="36" t="s">
        <v>22</v>
      </c>
      <c r="C49" s="36">
        <v>13.9</v>
      </c>
      <c r="D49" s="36" t="s">
        <v>53</v>
      </c>
      <c r="E49" s="130"/>
      <c r="F49" s="130"/>
      <c r="G49" s="89"/>
      <c r="H49" s="89"/>
      <c r="I49" s="89"/>
      <c r="J49" s="89"/>
      <c r="K49" s="89"/>
      <c r="L49" s="89"/>
      <c r="M49" s="89"/>
      <c r="N49" s="89"/>
      <c r="O49" s="89"/>
    </row>
    <row r="50">
      <c r="A50" s="88"/>
      <c r="B50" s="36" t="s">
        <v>23</v>
      </c>
      <c r="C50" s="36">
        <v>12.7</v>
      </c>
      <c r="D50" s="36" t="s">
        <v>53</v>
      </c>
      <c r="E50" s="130"/>
      <c r="F50" s="130"/>
      <c r="G50" s="89"/>
      <c r="H50" s="89"/>
      <c r="I50" s="89"/>
      <c r="J50" s="89"/>
      <c r="K50" s="89"/>
      <c r="L50" s="89"/>
      <c r="M50" s="89"/>
      <c r="N50" s="89"/>
      <c r="O50" s="89"/>
    </row>
    <row r="51">
      <c r="A51" s="88"/>
      <c r="B51" s="36" t="s">
        <v>27</v>
      </c>
      <c r="C51" s="36">
        <v>28.0</v>
      </c>
      <c r="D51" s="36" t="s">
        <v>53</v>
      </c>
      <c r="E51" s="130"/>
      <c r="F51" s="130"/>
      <c r="G51" s="89"/>
      <c r="H51" s="89"/>
      <c r="I51" s="89"/>
      <c r="J51" s="89"/>
      <c r="K51" s="89"/>
      <c r="L51" s="89"/>
      <c r="M51" s="89"/>
      <c r="N51" s="89"/>
      <c r="O51" s="89"/>
    </row>
    <row r="52">
      <c r="A52" s="88"/>
      <c r="B52" s="36" t="s">
        <v>21</v>
      </c>
      <c r="C52" s="36">
        <v>17.9</v>
      </c>
      <c r="D52" s="36" t="s">
        <v>53</v>
      </c>
      <c r="E52" s="130"/>
      <c r="F52" s="130"/>
      <c r="G52" s="89"/>
      <c r="H52" s="89"/>
      <c r="I52" s="89"/>
      <c r="J52" s="89"/>
      <c r="K52" s="89"/>
      <c r="L52" s="89"/>
      <c r="M52" s="89"/>
      <c r="N52" s="89"/>
      <c r="O52" s="89"/>
    </row>
    <row r="53">
      <c r="A53" s="88"/>
      <c r="B53" s="36" t="s">
        <v>24</v>
      </c>
      <c r="C53" s="36">
        <v>10.9</v>
      </c>
      <c r="D53" s="36" t="s">
        <v>53</v>
      </c>
      <c r="E53" s="130"/>
      <c r="F53" s="130"/>
      <c r="G53" s="89"/>
      <c r="H53" s="89"/>
      <c r="I53" s="89"/>
      <c r="J53" s="89"/>
      <c r="K53" s="89"/>
      <c r="L53" s="89"/>
      <c r="M53" s="89"/>
      <c r="N53" s="89"/>
      <c r="O53" s="89"/>
    </row>
    <row r="54">
      <c r="A54" s="88"/>
      <c r="B54" s="36" t="s">
        <v>25</v>
      </c>
      <c r="C54" s="36">
        <v>28.0</v>
      </c>
      <c r="D54" s="36" t="s">
        <v>53</v>
      </c>
      <c r="E54" s="130"/>
      <c r="F54" s="130"/>
      <c r="G54" s="89"/>
      <c r="H54" s="89"/>
      <c r="I54" s="89"/>
      <c r="J54" s="89"/>
      <c r="K54" s="89"/>
      <c r="L54" s="89"/>
      <c r="M54" s="89"/>
      <c r="N54" s="89"/>
      <c r="O54" s="89"/>
    </row>
    <row r="55">
      <c r="A55" s="88"/>
      <c r="B55" s="36" t="s">
        <v>19</v>
      </c>
      <c r="C55" s="36">
        <v>21.0</v>
      </c>
      <c r="D55" s="36" t="s">
        <v>53</v>
      </c>
      <c r="E55" s="130"/>
      <c r="F55" s="130"/>
      <c r="G55" s="89"/>
      <c r="H55" s="89"/>
      <c r="I55" s="89"/>
      <c r="J55" s="89"/>
      <c r="K55" s="89"/>
      <c r="L55" s="89"/>
      <c r="M55" s="89"/>
      <c r="N55" s="89"/>
      <c r="O55" s="89"/>
    </row>
    <row r="56">
      <c r="A56" s="88"/>
      <c r="B56" s="36" t="s">
        <v>28</v>
      </c>
      <c r="C56" s="36">
        <v>28.0</v>
      </c>
      <c r="D56" s="36" t="s">
        <v>58</v>
      </c>
      <c r="E56" s="130"/>
      <c r="F56" s="130"/>
      <c r="G56" s="89"/>
      <c r="H56" s="89"/>
      <c r="I56" s="89"/>
      <c r="J56" s="89"/>
      <c r="K56" s="89"/>
      <c r="L56" s="89"/>
      <c r="M56" s="89"/>
      <c r="N56" s="89"/>
      <c r="O56" s="89"/>
    </row>
    <row r="57">
      <c r="A57" s="88"/>
      <c r="B57" s="36" t="s">
        <v>29</v>
      </c>
      <c r="C57" s="36" t="s">
        <v>51</v>
      </c>
      <c r="D57" s="36" t="s">
        <v>58</v>
      </c>
      <c r="E57" s="130"/>
      <c r="F57" s="130"/>
      <c r="G57" s="89"/>
      <c r="H57" s="89"/>
      <c r="I57" s="89"/>
      <c r="J57" s="89"/>
      <c r="K57" s="89"/>
      <c r="L57" s="89"/>
      <c r="M57" s="89"/>
      <c r="N57" s="89"/>
      <c r="O57" s="89"/>
    </row>
    <row r="58">
      <c r="A58" s="88"/>
      <c r="B58" s="88"/>
      <c r="C58" s="88"/>
      <c r="D58" s="88"/>
      <c r="E58" s="88"/>
      <c r="F58" s="88"/>
      <c r="G58" s="89"/>
      <c r="H58" s="89"/>
      <c r="I58" s="89"/>
      <c r="J58" s="89"/>
      <c r="K58" s="89"/>
      <c r="L58" s="89"/>
      <c r="M58" s="89"/>
      <c r="N58" s="89"/>
      <c r="O58" s="89"/>
    </row>
    <row r="59">
      <c r="A59" s="88"/>
      <c r="B59" s="88"/>
      <c r="C59" s="131"/>
      <c r="D59" s="88"/>
      <c r="E59" s="88"/>
      <c r="F59" s="88"/>
      <c r="G59" s="89"/>
      <c r="H59" s="89"/>
      <c r="I59" s="89"/>
      <c r="J59" s="89"/>
      <c r="K59" s="89"/>
      <c r="L59" s="89"/>
      <c r="M59" s="89"/>
      <c r="N59" s="89"/>
      <c r="O59" s="89"/>
    </row>
    <row r="60">
      <c r="A60" s="88"/>
      <c r="B60" s="132" t="s">
        <v>1</v>
      </c>
      <c r="C60" s="133" t="s">
        <v>70</v>
      </c>
      <c r="D60" s="132" t="s">
        <v>71</v>
      </c>
      <c r="E60" s="134"/>
      <c r="F60" s="89"/>
      <c r="G60" s="91"/>
      <c r="H60" s="91"/>
      <c r="I60" s="91"/>
      <c r="J60" s="91"/>
      <c r="K60" s="91"/>
      <c r="L60" s="91"/>
      <c r="M60" s="91"/>
      <c r="N60" s="91"/>
      <c r="O60" s="91"/>
    </row>
    <row r="61">
      <c r="A61" s="88"/>
      <c r="B61" s="7" t="s">
        <v>72</v>
      </c>
      <c r="C61" s="135" t="s">
        <v>73</v>
      </c>
      <c r="D61" s="7" t="s">
        <v>74</v>
      </c>
      <c r="E61" s="116"/>
      <c r="F61" s="89"/>
      <c r="G61" s="91"/>
      <c r="H61" s="91"/>
      <c r="I61" s="91"/>
      <c r="J61" s="91"/>
      <c r="K61" s="91"/>
      <c r="L61" s="91"/>
      <c r="M61" s="91"/>
      <c r="N61" s="91"/>
      <c r="O61" s="91"/>
    </row>
    <row r="62">
      <c r="A62" s="88"/>
      <c r="B62" s="7" t="s">
        <v>75</v>
      </c>
      <c r="C62" s="136" t="s">
        <v>76</v>
      </c>
      <c r="D62" s="7" t="s">
        <v>74</v>
      </c>
      <c r="E62" s="91"/>
      <c r="F62" s="89"/>
      <c r="G62" s="91"/>
      <c r="H62" s="91"/>
      <c r="I62" s="91"/>
      <c r="J62" s="91"/>
      <c r="K62" s="91"/>
      <c r="L62" s="91"/>
      <c r="M62" s="91"/>
      <c r="N62" s="91"/>
      <c r="O62" s="91"/>
    </row>
    <row r="63">
      <c r="A63" s="88"/>
      <c r="B63" s="7" t="s">
        <v>77</v>
      </c>
      <c r="C63" s="137"/>
      <c r="D63" s="7" t="s">
        <v>74</v>
      </c>
      <c r="E63" s="91"/>
      <c r="F63" s="89"/>
      <c r="G63" s="91"/>
      <c r="H63" s="91"/>
      <c r="I63" s="91"/>
      <c r="J63" s="91"/>
      <c r="K63" s="91"/>
      <c r="L63" s="91"/>
      <c r="M63" s="91"/>
      <c r="N63" s="91"/>
      <c r="O63" s="91"/>
    </row>
    <row r="64">
      <c r="A64" s="88"/>
      <c r="B64" s="7" t="s">
        <v>8</v>
      </c>
      <c r="C64" s="137"/>
      <c r="D64" s="7" t="s">
        <v>74</v>
      </c>
      <c r="E64" s="91"/>
      <c r="F64" s="89"/>
      <c r="G64" s="91"/>
      <c r="H64" s="91"/>
      <c r="I64" s="91"/>
      <c r="J64" s="91"/>
      <c r="K64" s="91"/>
      <c r="L64" s="91"/>
      <c r="M64" s="91"/>
      <c r="N64" s="91"/>
      <c r="O64" s="91"/>
    </row>
    <row r="65">
      <c r="A65" s="88"/>
      <c r="B65" s="7" t="s">
        <v>7</v>
      </c>
      <c r="C65" s="137"/>
      <c r="D65" s="7" t="s">
        <v>74</v>
      </c>
      <c r="E65" s="91"/>
      <c r="F65" s="89"/>
      <c r="G65" s="91"/>
      <c r="H65" s="91"/>
      <c r="I65" s="91"/>
      <c r="J65" s="91"/>
      <c r="K65" s="91"/>
      <c r="L65" s="91"/>
      <c r="M65" s="91"/>
      <c r="N65" s="91"/>
      <c r="O65" s="91"/>
    </row>
    <row r="66">
      <c r="A66" s="88"/>
      <c r="B66" s="7" t="s">
        <v>78</v>
      </c>
      <c r="C66" s="135" t="s">
        <v>79</v>
      </c>
      <c r="E66" s="116"/>
      <c r="F66" s="89"/>
      <c r="G66" s="91"/>
      <c r="H66" s="91"/>
      <c r="I66" s="91"/>
      <c r="J66" s="91"/>
      <c r="K66" s="91"/>
      <c r="L66" s="91"/>
      <c r="M66" s="91"/>
      <c r="N66" s="91"/>
      <c r="O66" s="91"/>
    </row>
    <row r="67">
      <c r="A67" s="88"/>
      <c r="B67" s="7" t="s">
        <v>5</v>
      </c>
      <c r="C67" s="136" t="s">
        <v>80</v>
      </c>
      <c r="D67" s="7" t="s">
        <v>74</v>
      </c>
      <c r="E67" s="91"/>
      <c r="F67" s="89"/>
      <c r="G67" s="91"/>
      <c r="H67" s="91"/>
      <c r="I67" s="91"/>
      <c r="J67" s="91"/>
      <c r="K67" s="91"/>
      <c r="L67" s="91"/>
      <c r="M67" s="91"/>
      <c r="N67" s="91"/>
      <c r="O67" s="91"/>
    </row>
    <row r="68">
      <c r="A68" s="88"/>
      <c r="B68" s="7" t="s">
        <v>81</v>
      </c>
      <c r="C68" s="135" t="s">
        <v>82</v>
      </c>
      <c r="E68" s="116"/>
      <c r="F68" s="89"/>
      <c r="G68" s="91"/>
      <c r="H68" s="91"/>
      <c r="I68" s="91"/>
      <c r="J68" s="91"/>
      <c r="K68" s="91"/>
      <c r="L68" s="91"/>
      <c r="M68" s="91"/>
      <c r="N68" s="91"/>
      <c r="O68" s="91"/>
    </row>
    <row r="69">
      <c r="A69" s="88"/>
      <c r="B69" s="7" t="s">
        <v>83</v>
      </c>
      <c r="C69" s="135" t="s">
        <v>82</v>
      </c>
      <c r="E69" s="116"/>
      <c r="F69" s="89"/>
      <c r="G69" s="91"/>
      <c r="H69" s="91"/>
      <c r="I69" s="91"/>
      <c r="J69" s="91"/>
      <c r="K69" s="91"/>
      <c r="L69" s="91"/>
      <c r="M69" s="91"/>
      <c r="N69" s="91"/>
      <c r="O69" s="91"/>
    </row>
    <row r="70">
      <c r="A70" s="88"/>
      <c r="B70" s="7" t="s">
        <v>84</v>
      </c>
      <c r="C70" s="136" t="s">
        <v>85</v>
      </c>
      <c r="D70" s="138"/>
      <c r="E70" s="139"/>
      <c r="F70" s="89"/>
      <c r="G70" s="91"/>
      <c r="H70" s="91"/>
      <c r="I70" s="91"/>
      <c r="J70" s="91"/>
      <c r="K70" s="91"/>
      <c r="L70" s="91"/>
      <c r="M70" s="91"/>
      <c r="N70" s="91"/>
      <c r="O70" s="91"/>
    </row>
    <row r="71">
      <c r="A71" s="88"/>
      <c r="B71" s="7" t="s">
        <v>86</v>
      </c>
      <c r="C71" s="136" t="s">
        <v>87</v>
      </c>
      <c r="E71" s="91"/>
      <c r="F71" s="89"/>
      <c r="G71" s="91"/>
      <c r="H71" s="91"/>
      <c r="I71" s="91"/>
      <c r="J71" s="91"/>
      <c r="K71" s="91"/>
      <c r="L71" s="91"/>
      <c r="M71" s="91"/>
      <c r="N71" s="91"/>
      <c r="O71" s="91"/>
    </row>
    <row r="72">
      <c r="A72" s="88"/>
      <c r="B72" s="7" t="s">
        <v>88</v>
      </c>
      <c r="C72" s="135" t="s">
        <v>89</v>
      </c>
      <c r="E72" s="91"/>
      <c r="F72" s="89"/>
      <c r="G72" s="91"/>
      <c r="H72" s="91"/>
      <c r="I72" s="91"/>
      <c r="J72" s="91"/>
      <c r="K72" s="91"/>
      <c r="L72" s="91"/>
      <c r="M72" s="91"/>
      <c r="N72" s="91"/>
      <c r="O72" s="91"/>
    </row>
    <row r="73">
      <c r="A73" s="88"/>
      <c r="B73" s="7" t="s">
        <v>90</v>
      </c>
      <c r="C73" s="135" t="s">
        <v>91</v>
      </c>
      <c r="E73" s="91"/>
      <c r="F73" s="89"/>
      <c r="G73" s="91"/>
      <c r="H73" s="91"/>
      <c r="I73" s="91"/>
      <c r="J73" s="91"/>
      <c r="K73" s="91"/>
      <c r="L73" s="91"/>
      <c r="M73" s="91"/>
      <c r="N73" s="91"/>
      <c r="O73" s="91"/>
    </row>
    <row r="74">
      <c r="A74" s="88"/>
      <c r="B74" s="88"/>
      <c r="C74" s="91"/>
      <c r="D74" s="140"/>
      <c r="E74" s="91"/>
      <c r="F74" s="91"/>
      <c r="G74" s="89"/>
      <c r="H74" s="89"/>
      <c r="I74" s="89"/>
      <c r="J74" s="89"/>
      <c r="K74" s="89"/>
      <c r="L74" s="89"/>
      <c r="M74" s="89"/>
      <c r="N74" s="89"/>
      <c r="O74" s="89"/>
    </row>
    <row r="75">
      <c r="A75" s="88"/>
      <c r="B75" s="88"/>
      <c r="C75" s="91"/>
      <c r="D75" s="140"/>
      <c r="E75" s="91"/>
      <c r="F75" s="91"/>
      <c r="G75" s="89"/>
      <c r="H75" s="89"/>
      <c r="I75" s="89"/>
      <c r="J75" s="89"/>
      <c r="K75" s="89"/>
      <c r="L75" s="89"/>
      <c r="M75" s="89"/>
      <c r="N75" s="89"/>
      <c r="O75" s="89"/>
    </row>
  </sheetData>
  <autoFilter ref="$B$46:$D$57">
    <sortState ref="B46:D57">
      <sortCondition ref="D46:D57"/>
      <sortCondition ref="B46:B57"/>
      <sortCondition descending="1" ref="C46:C57"/>
    </sortState>
  </autoFilter>
  <mergeCells count="20">
    <mergeCell ref="B2:F2"/>
    <mergeCell ref="H2:N2"/>
    <mergeCell ref="B5:F5"/>
    <mergeCell ref="C6:C7"/>
    <mergeCell ref="E6:E7"/>
    <mergeCell ref="B9:F9"/>
    <mergeCell ref="C10:C11"/>
    <mergeCell ref="B39:C39"/>
    <mergeCell ref="B40:C40"/>
    <mergeCell ref="C43:C44"/>
    <mergeCell ref="E40:F40"/>
    <mergeCell ref="B42:F42"/>
    <mergeCell ref="E43:E44"/>
    <mergeCell ref="E10:E11"/>
    <mergeCell ref="B13:F13"/>
    <mergeCell ref="C14:C15"/>
    <mergeCell ref="E14:E15"/>
    <mergeCell ref="B33:F33"/>
    <mergeCell ref="B38:F38"/>
    <mergeCell ref="E39:F39"/>
  </mergeCells>
  <dataValidations>
    <dataValidation type="list" allowBlank="1" showErrorMessage="1" sqref="D47:D57">
      <formula1>"Yes,No,Confirmed,unk"</formula1>
    </dataValidation>
  </dataValidations>
  <hyperlinks>
    <hyperlink r:id="rId1" ref="C46"/>
    <hyperlink r:id="rId2" ref="C61"/>
    <hyperlink r:id="rId3" ref="C62"/>
    <hyperlink r:id="rId4" ref="C66"/>
    <hyperlink r:id="rId5" ref="C67"/>
    <hyperlink r:id="rId6" ref="C68"/>
    <hyperlink r:id="rId7" ref="C69"/>
    <hyperlink r:id="rId8" ref="C70"/>
    <hyperlink r:id="rId9" ref="C71"/>
    <hyperlink r:id="rId10" location="/search" ref="C72"/>
    <hyperlink r:id="rId11" ref="C73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8.25"/>
    <col customWidth="1" min="3" max="3" width="7.63"/>
    <col customWidth="1" min="4" max="4" width="2.25"/>
    <col customWidth="1" min="5" max="5" width="6.13"/>
    <col customWidth="1" min="6" max="7" width="6.63"/>
    <col customWidth="1" min="8" max="8" width="7.75"/>
    <col customWidth="1" min="9" max="9" width="3.88"/>
  </cols>
  <sheetData>
    <row r="1" ht="10.5" customHeight="1">
      <c r="A1" s="153"/>
      <c r="B1" s="154"/>
      <c r="C1" s="155"/>
      <c r="D1" s="155"/>
      <c r="E1" s="156"/>
      <c r="F1" s="156"/>
      <c r="G1" s="156"/>
      <c r="H1" s="156"/>
      <c r="I1" s="155"/>
    </row>
    <row r="2">
      <c r="A2" s="153"/>
      <c r="B2" s="157" t="s">
        <v>93</v>
      </c>
      <c r="C2" s="155"/>
      <c r="D2" s="155"/>
      <c r="E2" s="158" t="s">
        <v>71</v>
      </c>
      <c r="F2" s="52" t="s">
        <v>94</v>
      </c>
      <c r="G2" s="52" t="s">
        <v>95</v>
      </c>
      <c r="H2" s="53" t="s">
        <v>42</v>
      </c>
      <c r="I2" s="155"/>
    </row>
    <row r="3">
      <c r="A3" s="155"/>
      <c r="B3" s="159" t="s">
        <v>96</v>
      </c>
      <c r="C3" s="160"/>
      <c r="D3" s="156"/>
      <c r="E3" s="161">
        <v>1.0</v>
      </c>
      <c r="F3" s="162">
        <v>6.0</v>
      </c>
      <c r="G3" s="162">
        <v>5.0</v>
      </c>
      <c r="H3" s="163">
        <v>4.0</v>
      </c>
      <c r="I3" s="155"/>
    </row>
    <row r="4">
      <c r="A4" s="156"/>
      <c r="B4" s="164" t="s">
        <v>35</v>
      </c>
      <c r="C4" s="163">
        <v>3.0</v>
      </c>
      <c r="D4" s="156"/>
      <c r="E4" s="165">
        <v>2.0</v>
      </c>
      <c r="F4" s="166">
        <v>4.0</v>
      </c>
      <c r="G4" s="166">
        <v>4.0</v>
      </c>
      <c r="H4" s="167">
        <v>3.0</v>
      </c>
      <c r="I4" s="155"/>
    </row>
    <row r="5">
      <c r="A5" s="156"/>
      <c r="B5" s="168" t="s">
        <v>97</v>
      </c>
      <c r="C5" s="169">
        <v>0.0</v>
      </c>
      <c r="D5" s="156"/>
      <c r="E5" s="170">
        <v>3.0</v>
      </c>
      <c r="F5" s="171">
        <v>3.0</v>
      </c>
      <c r="G5" s="171">
        <v>3.0</v>
      </c>
      <c r="H5" s="172">
        <v>2.0</v>
      </c>
      <c r="I5" s="155"/>
    </row>
    <row r="6">
      <c r="A6" s="156"/>
      <c r="B6" s="156"/>
      <c r="C6" s="156"/>
      <c r="D6" s="156"/>
      <c r="E6" s="173">
        <v>4.0</v>
      </c>
      <c r="F6" s="174">
        <v>2.0</v>
      </c>
      <c r="G6" s="174">
        <v>2.0</v>
      </c>
      <c r="H6" s="175">
        <v>1.0</v>
      </c>
      <c r="I6" s="155"/>
    </row>
    <row r="7">
      <c r="A7" s="156"/>
      <c r="B7" s="159" t="s">
        <v>98</v>
      </c>
      <c r="C7" s="160"/>
      <c r="D7" s="156"/>
      <c r="E7" s="176">
        <v>5.0</v>
      </c>
      <c r="F7" s="177">
        <v>1.0</v>
      </c>
      <c r="G7" s="177">
        <v>1.0</v>
      </c>
      <c r="H7" s="169">
        <v>0.0</v>
      </c>
      <c r="I7" s="155"/>
    </row>
    <row r="8">
      <c r="A8" s="156"/>
      <c r="B8" s="164" t="s">
        <v>99</v>
      </c>
      <c r="C8" s="163">
        <v>5.0</v>
      </c>
      <c r="D8" s="156"/>
      <c r="E8" s="178" t="s">
        <v>100</v>
      </c>
      <c r="F8" s="179">
        <v>0.0</v>
      </c>
      <c r="G8" s="179">
        <v>0.0</v>
      </c>
      <c r="H8" s="169">
        <v>0.0</v>
      </c>
      <c r="I8" s="155"/>
    </row>
    <row r="9">
      <c r="A9" s="156"/>
      <c r="B9" s="164" t="s">
        <v>101</v>
      </c>
      <c r="C9" s="167">
        <v>2.0</v>
      </c>
      <c r="D9" s="156"/>
      <c r="E9" s="180"/>
      <c r="F9" s="180"/>
      <c r="G9" s="180"/>
      <c r="H9" s="180"/>
      <c r="I9" s="155"/>
    </row>
    <row r="10">
      <c r="A10" s="156"/>
      <c r="B10" s="168" t="s">
        <v>102</v>
      </c>
      <c r="C10" s="169">
        <v>0.0</v>
      </c>
      <c r="D10" s="156"/>
      <c r="E10" s="181" t="s">
        <v>103</v>
      </c>
      <c r="F10" s="20"/>
      <c r="G10" s="20"/>
      <c r="H10" s="21"/>
      <c r="I10" s="155"/>
    </row>
    <row r="11">
      <c r="A11" s="156"/>
      <c r="B11" s="156"/>
      <c r="C11" s="156"/>
      <c r="D11" s="156"/>
      <c r="E11" s="182" t="s">
        <v>24</v>
      </c>
      <c r="F11" s="183" t="s">
        <v>104</v>
      </c>
      <c r="G11" s="183" t="s">
        <v>26</v>
      </c>
      <c r="H11" s="184" t="s">
        <v>22</v>
      </c>
      <c r="I11" s="155"/>
    </row>
    <row r="12">
      <c r="A12" s="156"/>
      <c r="B12" s="185"/>
      <c r="C12" s="185"/>
      <c r="D12" s="185"/>
      <c r="E12" s="182" t="s">
        <v>26</v>
      </c>
      <c r="F12" s="183" t="s">
        <v>23</v>
      </c>
      <c r="G12" s="183" t="s">
        <v>28</v>
      </c>
      <c r="H12" s="184" t="s">
        <v>29</v>
      </c>
      <c r="I12" s="155"/>
    </row>
    <row r="13">
      <c r="A13" s="156"/>
      <c r="B13" s="186"/>
      <c r="C13" s="186"/>
      <c r="D13" s="186"/>
      <c r="E13" s="187" t="s">
        <v>21</v>
      </c>
      <c r="F13" s="188" t="s">
        <v>20</v>
      </c>
      <c r="G13" s="188" t="s">
        <v>27</v>
      </c>
      <c r="H13" s="189"/>
      <c r="I13" s="155"/>
    </row>
    <row r="14">
      <c r="A14" s="156"/>
      <c r="B14" s="156"/>
      <c r="C14" s="156"/>
      <c r="D14" s="156"/>
      <c r="E14" s="156"/>
      <c r="F14" s="156"/>
      <c r="G14" s="156"/>
      <c r="H14" s="156"/>
      <c r="I14" s="155"/>
    </row>
  </sheetData>
  <mergeCells count="3">
    <mergeCell ref="B3:C3"/>
    <mergeCell ref="B7:C7"/>
    <mergeCell ref="E10:H10"/>
  </mergeCells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4.75"/>
    <col customWidth="1" min="3" max="3" width="8.38"/>
    <col customWidth="1" min="4" max="4" width="8.63"/>
    <col customWidth="1" min="5" max="5" width="6.75"/>
    <col customWidth="1" min="6" max="6" width="2.13"/>
    <col customWidth="1" min="7" max="7" width="6.75"/>
    <col customWidth="1" min="8" max="8" width="5.88"/>
    <col customWidth="1" min="9" max="9" width="6.38"/>
    <col customWidth="1" min="10" max="10" width="6.88"/>
    <col customWidth="1" min="11" max="11" width="1.63"/>
  </cols>
  <sheetData>
    <row r="1" ht="5.2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>
      <c r="A2" s="18"/>
      <c r="B2" s="19" t="s">
        <v>105</v>
      </c>
      <c r="C2" s="20"/>
      <c r="D2" s="20"/>
      <c r="E2" s="21"/>
      <c r="F2" s="18"/>
      <c r="G2" s="19" t="s">
        <v>106</v>
      </c>
      <c r="H2" s="20"/>
      <c r="I2" s="20"/>
      <c r="J2" s="21"/>
      <c r="K2" s="18"/>
    </row>
    <row r="3" ht="45.0" customHeight="1">
      <c r="A3" s="22"/>
      <c r="B3" s="23" t="s">
        <v>11</v>
      </c>
      <c r="C3" s="24" t="s">
        <v>12</v>
      </c>
      <c r="D3" s="24" t="s">
        <v>13</v>
      </c>
      <c r="E3" s="25" t="s">
        <v>14</v>
      </c>
      <c r="F3" s="22"/>
      <c r="G3" s="23" t="s">
        <v>12</v>
      </c>
      <c r="H3" s="24" t="s">
        <v>16</v>
      </c>
      <c r="I3" s="24" t="s">
        <v>107</v>
      </c>
      <c r="J3" s="25" t="s">
        <v>18</v>
      </c>
      <c r="K3" s="22"/>
    </row>
    <row r="4">
      <c r="A4" s="29"/>
      <c r="B4" s="30">
        <v>1.0</v>
      </c>
      <c r="C4" s="31" t="s">
        <v>24</v>
      </c>
      <c r="D4" s="32">
        <f>SUMIF('Example Weekly Point Data'!$D:$D, C4, 'Example Weekly Point Data'!$Q:$Q)</f>
        <v>39</v>
      </c>
      <c r="E4" s="33">
        <v>0.0</v>
      </c>
      <c r="F4" s="34"/>
      <c r="G4" s="35" t="str">
        <f t="shared" ref="G4:G15" si="1">C4</f>
        <v>Joey</v>
      </c>
      <c r="H4" s="36">
        <f>COUNTIFS('Example Weekly Point Data'!G:G,"Won",'Example Weekly Point Data'!D:D,G4)</f>
        <v>1</v>
      </c>
      <c r="I4" s="36">
        <f>COUNTIFS('Example Weekly Point Data'!F:F,"No",'Example Weekly Point Data'!D:D,G4)</f>
        <v>0</v>
      </c>
      <c r="J4" s="33">
        <f>MINIFS('Example Weekly Point Data'!I:I,'Example Weekly Point Data'!D:D,G4)</f>
        <v>43</v>
      </c>
      <c r="K4" s="29"/>
    </row>
    <row r="5">
      <c r="A5" s="29"/>
      <c r="B5" s="30">
        <v>2.0</v>
      </c>
      <c r="C5" s="31" t="s">
        <v>104</v>
      </c>
      <c r="D5" s="32">
        <f>SUMIF('Example Weekly Point Data'!$D:$D, C5, 'Example Weekly Point Data'!$Q:$Q)</f>
        <v>37</v>
      </c>
      <c r="E5" s="37">
        <f t="shared" ref="E5:E15" si="2">D5-$D$4</f>
        <v>-2</v>
      </c>
      <c r="F5" s="38"/>
      <c r="G5" s="35" t="str">
        <f t="shared" si="1"/>
        <v>Cal</v>
      </c>
      <c r="H5" s="36">
        <f>COUNTIFS('Example Weekly Point Data'!G:G,"Won",'Example Weekly Point Data'!D:D,G5)</f>
        <v>1</v>
      </c>
      <c r="I5" s="36">
        <f>COUNTIFS('Example Weekly Point Data'!F:F,"No",'Example Weekly Point Data'!D:D,G5)</f>
        <v>0</v>
      </c>
      <c r="J5" s="33">
        <f>MINIFS('Example Weekly Point Data'!I:I,'Example Weekly Point Data'!D:D,G5)</f>
        <v>47</v>
      </c>
      <c r="K5" s="29"/>
    </row>
    <row r="6">
      <c r="A6" s="29"/>
      <c r="B6" s="30">
        <v>3.0</v>
      </c>
      <c r="C6" s="31" t="s">
        <v>26</v>
      </c>
      <c r="D6" s="32">
        <f>SUMIF('Example Weekly Point Data'!$D:$D, C6, 'Example Weekly Point Data'!$Q:$Q)</f>
        <v>34</v>
      </c>
      <c r="E6" s="37">
        <f t="shared" si="2"/>
        <v>-5</v>
      </c>
      <c r="F6" s="38"/>
      <c r="G6" s="35" t="str">
        <f t="shared" si="1"/>
        <v>Brandt</v>
      </c>
      <c r="H6" s="36">
        <f>COUNTIFS('Example Weekly Point Data'!G:G,"Won",'Example Weekly Point Data'!D:D,G6)</f>
        <v>0</v>
      </c>
      <c r="I6" s="36">
        <f>COUNTIFS('Example Weekly Point Data'!F:F,"No",'Example Weekly Point Data'!D:D,G6)</f>
        <v>0</v>
      </c>
      <c r="J6" s="33">
        <f>MINIFS('Example Weekly Point Data'!I:I,'Example Weekly Point Data'!D:D,G6)</f>
        <v>43</v>
      </c>
      <c r="K6" s="29"/>
    </row>
    <row r="7">
      <c r="A7" s="29"/>
      <c r="B7" s="30">
        <v>4.0</v>
      </c>
      <c r="C7" s="31" t="s">
        <v>23</v>
      </c>
      <c r="D7" s="32">
        <f>SUMIF('Example Weekly Point Data'!$D:$D, C7, 'Example Weekly Point Data'!$Q:$Q)</f>
        <v>28</v>
      </c>
      <c r="E7" s="37">
        <f t="shared" si="2"/>
        <v>-11</v>
      </c>
      <c r="F7" s="38"/>
      <c r="G7" s="35" t="str">
        <f t="shared" si="1"/>
        <v>GT</v>
      </c>
      <c r="H7" s="36">
        <f>COUNTIFS('Example Weekly Point Data'!G:G,"Won",'Example Weekly Point Data'!D:D,G7)</f>
        <v>0</v>
      </c>
      <c r="I7" s="36">
        <f>COUNTIFS('Example Weekly Point Data'!F:F,"No",'Example Weekly Point Data'!D:D,G7)</f>
        <v>0</v>
      </c>
      <c r="J7" s="33">
        <f>MINIFS('Example Weekly Point Data'!I:I,'Example Weekly Point Data'!D:D,G7)</f>
        <v>46</v>
      </c>
      <c r="K7" s="29"/>
    </row>
    <row r="8">
      <c r="A8" s="29"/>
      <c r="B8" s="30">
        <v>5.0</v>
      </c>
      <c r="C8" s="31" t="s">
        <v>22</v>
      </c>
      <c r="D8" s="32">
        <f>SUMIF('Example Weekly Point Data'!$D:$D, C8, 'Example Weekly Point Data'!$Q:$Q)</f>
        <v>23</v>
      </c>
      <c r="E8" s="37">
        <f t="shared" si="2"/>
        <v>-16</v>
      </c>
      <c r="F8" s="38"/>
      <c r="G8" s="35" t="str">
        <f t="shared" si="1"/>
        <v>Bryan</v>
      </c>
      <c r="H8" s="36">
        <f>COUNTIFS('Example Weekly Point Data'!G:G,"Won",'Example Weekly Point Data'!D:D,G8)</f>
        <v>1</v>
      </c>
      <c r="I8" s="36">
        <f>COUNTIFS('Example Weekly Point Data'!F:F,"No",'Example Weekly Point Data'!D:D,G8)</f>
        <v>0</v>
      </c>
      <c r="J8" s="33">
        <f>MINIFS('Example Weekly Point Data'!I:I,'Example Weekly Point Data'!D:D,G8)</f>
        <v>49</v>
      </c>
      <c r="K8" s="29"/>
    </row>
    <row r="9">
      <c r="A9" s="29"/>
      <c r="B9" s="30">
        <v>6.0</v>
      </c>
      <c r="C9" s="31" t="s">
        <v>19</v>
      </c>
      <c r="D9" s="32">
        <f>SUMIF('Example Weekly Point Data'!$D:$D, C9, 'Example Weekly Point Data'!$Q:$Q)</f>
        <v>22</v>
      </c>
      <c r="E9" s="37">
        <f t="shared" si="2"/>
        <v>-17</v>
      </c>
      <c r="F9" s="38"/>
      <c r="G9" s="35" t="str">
        <f t="shared" si="1"/>
        <v>Zach</v>
      </c>
      <c r="H9" s="36">
        <f>COUNTIFS('Example Weekly Point Data'!G:G,"Won",'Example Weekly Point Data'!D:D,G9)</f>
        <v>0</v>
      </c>
      <c r="I9" s="36">
        <f>COUNTIFS('Example Weekly Point Data'!F:F,"No",'Example Weekly Point Data'!D:D,G9)</f>
        <v>0</v>
      </c>
      <c r="J9" s="33">
        <f>MINIFS('Example Weekly Point Data'!I:I,'Example Weekly Point Data'!D:D,G9)</f>
        <v>48</v>
      </c>
      <c r="K9" s="29"/>
    </row>
    <row r="10">
      <c r="A10" s="29"/>
      <c r="B10" s="30">
        <v>7.0</v>
      </c>
      <c r="C10" s="31" t="s">
        <v>21</v>
      </c>
      <c r="D10" s="32">
        <f>SUMIF('Example Weekly Point Data'!$D:$D, C10, 'Example Weekly Point Data'!$Q:$Q)</f>
        <v>21</v>
      </c>
      <c r="E10" s="37">
        <f t="shared" si="2"/>
        <v>-18</v>
      </c>
      <c r="F10" s="38"/>
      <c r="G10" s="35" t="str">
        <f t="shared" si="1"/>
        <v>Joe</v>
      </c>
      <c r="H10" s="36">
        <f>COUNTIFS('Example Weekly Point Data'!G:G,"Won",'Example Weekly Point Data'!D:D,G10)</f>
        <v>1</v>
      </c>
      <c r="I10" s="36">
        <f>COUNTIFS('Example Weekly Point Data'!F:F,"No",'Example Weekly Point Data'!D:D,G10)</f>
        <v>0</v>
      </c>
      <c r="J10" s="33">
        <f>MINIFS('Example Weekly Point Data'!I:I,'Example Weekly Point Data'!D:D,G10)</f>
        <v>48</v>
      </c>
      <c r="K10" s="29"/>
    </row>
    <row r="11">
      <c r="A11" s="29"/>
      <c r="B11" s="30">
        <v>9.0</v>
      </c>
      <c r="C11" s="31" t="s">
        <v>28</v>
      </c>
      <c r="D11" s="32">
        <f>SUMIF('Example Weekly Point Data'!$D:$D, C11, 'Example Weekly Point Data'!$Q:$Q)</f>
        <v>15</v>
      </c>
      <c r="E11" s="37">
        <f t="shared" si="2"/>
        <v>-24</v>
      </c>
      <c r="F11" s="38"/>
      <c r="G11" s="35" t="str">
        <f t="shared" si="1"/>
        <v>Jared</v>
      </c>
      <c r="H11" s="36">
        <f>COUNTIFS('Example Weekly Point Data'!G:G,"Won",'Example Weekly Point Data'!D:D,G11)</f>
        <v>1</v>
      </c>
      <c r="I11" s="36">
        <f>COUNTIFS('Example Weekly Point Data'!F:F,"No",'Example Weekly Point Data'!D:D,G11)</f>
        <v>1</v>
      </c>
      <c r="J11" s="33">
        <f>MINIFS('Example Weekly Point Data'!I:I,'Example Weekly Point Data'!D:D,G11)</f>
        <v>52</v>
      </c>
      <c r="K11" s="29"/>
    </row>
    <row r="12">
      <c r="A12" s="29"/>
      <c r="B12" s="30">
        <v>9.0</v>
      </c>
      <c r="C12" s="31" t="s">
        <v>20</v>
      </c>
      <c r="D12" s="32">
        <f>SUMIF('Example Weekly Point Data'!$D:$D, C12, 'Example Weekly Point Data'!$Q:$Q)</f>
        <v>14</v>
      </c>
      <c r="E12" s="37">
        <f t="shared" si="2"/>
        <v>-25</v>
      </c>
      <c r="F12" s="38"/>
      <c r="G12" s="35" t="str">
        <f t="shared" si="1"/>
        <v>Bird</v>
      </c>
      <c r="H12" s="36">
        <f>COUNTIFS('Example Weekly Point Data'!G:G,"Won",'Example Weekly Point Data'!D:D,G12)</f>
        <v>0</v>
      </c>
      <c r="I12" s="36">
        <f>COUNTIFS('Example Weekly Point Data'!F:F,"No",'Example Weekly Point Data'!D:D,G12)</f>
        <v>0</v>
      </c>
      <c r="J12" s="33">
        <f>MINIFS('Example Weekly Point Data'!I:I,'Example Weekly Point Data'!D:D,G12)</f>
        <v>50</v>
      </c>
      <c r="K12" s="29"/>
    </row>
    <row r="13">
      <c r="A13" s="29"/>
      <c r="B13" s="30">
        <v>10.0</v>
      </c>
      <c r="C13" s="31" t="s">
        <v>27</v>
      </c>
      <c r="D13" s="32">
        <f>SUMIF('Example Weekly Point Data'!$D:$D, C13, 'Example Weekly Point Data'!$Q:$Q)</f>
        <v>0</v>
      </c>
      <c r="E13" s="37">
        <f t="shared" si="2"/>
        <v>-39</v>
      </c>
      <c r="F13" s="38"/>
      <c r="G13" s="35" t="str">
        <f t="shared" si="1"/>
        <v>Hunter</v>
      </c>
      <c r="H13" s="36">
        <f>COUNTIFS('Example Weekly Point Data'!G:G,"Won",'Example Weekly Point Data'!D:D,G13)</f>
        <v>0</v>
      </c>
      <c r="I13" s="36">
        <f>COUNTIFS('Example Weekly Point Data'!F:F,"No",'Example Weekly Point Data'!D:D,G13)</f>
        <v>0</v>
      </c>
      <c r="J13" s="33">
        <f>MINIFS('Example Weekly Point Data'!I:I,'Example Weekly Point Data'!D:D,G13)</f>
        <v>0</v>
      </c>
      <c r="K13" s="29"/>
    </row>
    <row r="14">
      <c r="A14" s="29"/>
      <c r="B14" s="30">
        <v>11.0</v>
      </c>
      <c r="C14" s="31" t="s">
        <v>29</v>
      </c>
      <c r="D14" s="32">
        <f>SUMIF('Example Weekly Point Data'!$D:$D, C14, 'Example Weekly Point Data'!$Q:$Q)</f>
        <v>0</v>
      </c>
      <c r="E14" s="37">
        <f t="shared" si="2"/>
        <v>-39</v>
      </c>
      <c r="F14" s="38"/>
      <c r="G14" s="35" t="str">
        <f t="shared" si="1"/>
        <v>Stefan</v>
      </c>
      <c r="H14" s="36">
        <f>COUNTIFS('Example Weekly Point Data'!G:G,"Won",'Example Weekly Point Data'!D:D,G14)</f>
        <v>0</v>
      </c>
      <c r="I14" s="36">
        <f>COUNTIFS('Example Weekly Point Data'!F:F,"No",'Example Weekly Point Data'!D:D,G14)</f>
        <v>0</v>
      </c>
      <c r="J14" s="33">
        <f>MINIFS('Example Weekly Point Data'!I:I,'Example Weekly Point Data'!D:D,G14)</f>
        <v>0</v>
      </c>
      <c r="K14" s="29"/>
    </row>
    <row r="15">
      <c r="A15" s="29"/>
      <c r="B15" s="39">
        <v>12.0</v>
      </c>
      <c r="C15" s="40"/>
      <c r="D15" s="41">
        <f>SUMIF('Example Weekly Point Data'!$D:$D, C15, 'Example Weekly Point Data'!$Q:$Q)</f>
        <v>0</v>
      </c>
      <c r="E15" s="42">
        <f t="shared" si="2"/>
        <v>-39</v>
      </c>
      <c r="F15" s="38"/>
      <c r="G15" s="43" t="str">
        <f t="shared" si="1"/>
        <v/>
      </c>
      <c r="H15" s="40"/>
      <c r="I15" s="40"/>
      <c r="J15" s="190"/>
      <c r="K15" s="29"/>
    </row>
    <row r="16" ht="5.25" customHeight="1">
      <c r="A16" s="29"/>
      <c r="B16" s="34"/>
      <c r="C16" s="29"/>
      <c r="D16" s="38"/>
      <c r="E16" s="38"/>
      <c r="F16" s="38"/>
      <c r="G16" s="29"/>
      <c r="H16" s="29"/>
      <c r="I16" s="29"/>
      <c r="J16" s="29"/>
      <c r="K16" s="29"/>
    </row>
  </sheetData>
  <autoFilter ref="$C$3:$D$15">
    <sortState ref="C3:D15">
      <sortCondition descending="1" ref="D3:D15"/>
      <sortCondition ref="C3:C15"/>
    </sortState>
  </autoFilter>
  <mergeCells count="2">
    <mergeCell ref="B2:E2"/>
    <mergeCell ref="G2:J2"/>
  </mergeCells>
  <conditionalFormatting sqref="E5:F16">
    <cfRule type="colorScale" priority="1">
      <colorScale>
        <cfvo type="min"/>
        <cfvo type="percentile" val="50"/>
        <cfvo type="max"/>
        <color rgb="FFE6B8AF"/>
        <color rgb="FFFCE5CD"/>
        <color rgb="FFFFF2CC"/>
      </colorScale>
    </cfRule>
  </conditionalFormatting>
  <conditionalFormatting sqref="D4:D16">
    <cfRule type="colorScale" priority="2">
      <colorScale>
        <cfvo type="min"/>
        <cfvo type="max"/>
        <color rgb="FFFFFFFF"/>
        <color rgb="FF93C47D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7.88"/>
    <col customWidth="1" min="2" max="2" width="7.13"/>
    <col customWidth="1" min="3" max="3" width="9.25"/>
    <col customWidth="1" min="4" max="4" width="8.5"/>
    <col customWidth="1" min="5" max="5" width="9.38"/>
    <col customWidth="1" min="6" max="6" width="9.88"/>
    <col customWidth="1" min="7" max="7" width="8.63"/>
    <col customWidth="1" min="8" max="8" width="8.13"/>
    <col customWidth="1" min="9" max="9" width="8.38"/>
    <col customWidth="1" min="10" max="10" width="8.13"/>
    <col customWidth="1" min="11" max="11" width="7.63"/>
    <col customWidth="1" min="12" max="12" width="11.25"/>
    <col customWidth="1" min="13" max="16" width="8.63"/>
    <col customWidth="1" min="17" max="17" width="8.88"/>
    <col customWidth="1" min="18" max="18" width="3.25"/>
  </cols>
  <sheetData>
    <row r="1">
      <c r="A1" s="46" t="s">
        <v>30</v>
      </c>
      <c r="B1" s="20"/>
      <c r="C1" s="20"/>
      <c r="D1" s="21"/>
      <c r="E1" s="46" t="s">
        <v>31</v>
      </c>
      <c r="F1" s="20"/>
      <c r="G1" s="20"/>
      <c r="H1" s="20"/>
      <c r="I1" s="20"/>
      <c r="J1" s="20"/>
      <c r="K1" s="21"/>
      <c r="L1" s="46" t="s">
        <v>32</v>
      </c>
      <c r="M1" s="20"/>
      <c r="N1" s="20"/>
      <c r="O1" s="20"/>
      <c r="P1" s="21"/>
      <c r="Q1" s="191" t="s">
        <v>33</v>
      </c>
      <c r="R1" s="192"/>
    </row>
    <row r="2">
      <c r="A2" s="193" t="s">
        <v>34</v>
      </c>
      <c r="B2" s="194" t="s">
        <v>0</v>
      </c>
      <c r="C2" s="195" t="s">
        <v>1</v>
      </c>
      <c r="D2" s="196" t="s">
        <v>12</v>
      </c>
      <c r="E2" s="193" t="s">
        <v>38</v>
      </c>
      <c r="F2" s="195" t="s">
        <v>35</v>
      </c>
      <c r="G2" s="195" t="s">
        <v>39</v>
      </c>
      <c r="H2" s="195" t="s">
        <v>108</v>
      </c>
      <c r="I2" s="195" t="s">
        <v>41</v>
      </c>
      <c r="J2" s="195" t="s">
        <v>43</v>
      </c>
      <c r="K2" s="196" t="s">
        <v>42</v>
      </c>
      <c r="L2" s="195" t="s">
        <v>44</v>
      </c>
      <c r="M2" s="195" t="s">
        <v>45</v>
      </c>
      <c r="N2" s="195" t="s">
        <v>46</v>
      </c>
      <c r="O2" s="195" t="s">
        <v>47</v>
      </c>
      <c r="P2" s="195" t="s">
        <v>48</v>
      </c>
      <c r="Q2" s="197" t="s">
        <v>13</v>
      </c>
      <c r="R2" s="198"/>
    </row>
    <row r="3">
      <c r="A3" s="72" t="s">
        <v>109</v>
      </c>
      <c r="B3" s="71">
        <v>46096.0</v>
      </c>
      <c r="C3" s="72" t="s">
        <v>78</v>
      </c>
      <c r="D3" s="73" t="s">
        <v>20</v>
      </c>
      <c r="E3" s="30" t="s">
        <v>26</v>
      </c>
      <c r="F3" s="36" t="s">
        <v>54</v>
      </c>
      <c r="G3" s="36" t="s">
        <v>56</v>
      </c>
      <c r="H3" s="36">
        <v>17.9</v>
      </c>
      <c r="I3" s="36">
        <v>50.0</v>
      </c>
      <c r="J3" s="36">
        <f t="shared" ref="J3:J16" si="1">I3-ROUNDUP(H3/2,0)</f>
        <v>41</v>
      </c>
      <c r="K3" s="33">
        <v>19.0</v>
      </c>
      <c r="L3" s="36">
        <f t="shared" ref="L3:L20" si="2">IFS(F3="Yes",3,F3="No",0)</f>
        <v>3</v>
      </c>
      <c r="M3" s="36">
        <f t="shared" ref="M3:M20" si="3">IFS(G3="Tied",2,G3="Won",5,G3="Lost",0)</f>
        <v>2</v>
      </c>
      <c r="N3" s="36">
        <v>0.0</v>
      </c>
      <c r="O3" s="36">
        <v>1.0</v>
      </c>
      <c r="P3" s="36">
        <v>2.0</v>
      </c>
      <c r="Q3" s="74">
        <f t="shared" ref="Q3:Q20" si="4">SUM(L3:P3)</f>
        <v>8</v>
      </c>
      <c r="R3" s="75"/>
    </row>
    <row r="4">
      <c r="A4" s="72" t="s">
        <v>109</v>
      </c>
      <c r="B4" s="71">
        <v>46096.0</v>
      </c>
      <c r="C4" s="72" t="s">
        <v>78</v>
      </c>
      <c r="D4" s="73" t="s">
        <v>26</v>
      </c>
      <c r="E4" s="30" t="s">
        <v>20</v>
      </c>
      <c r="F4" s="36" t="s">
        <v>54</v>
      </c>
      <c r="G4" s="36" t="s">
        <v>56</v>
      </c>
      <c r="H4" s="36">
        <v>9.1</v>
      </c>
      <c r="I4" s="36">
        <v>43.0</v>
      </c>
      <c r="J4" s="36">
        <f t="shared" si="1"/>
        <v>38</v>
      </c>
      <c r="K4" s="33">
        <v>18.0</v>
      </c>
      <c r="L4" s="36">
        <f t="shared" si="2"/>
        <v>3</v>
      </c>
      <c r="M4" s="36">
        <f t="shared" si="3"/>
        <v>2</v>
      </c>
      <c r="N4" s="36">
        <v>6.0</v>
      </c>
      <c r="O4" s="36">
        <v>3.0</v>
      </c>
      <c r="P4" s="36">
        <v>3.0</v>
      </c>
      <c r="Q4" s="74">
        <f t="shared" si="4"/>
        <v>17</v>
      </c>
      <c r="R4" s="75"/>
    </row>
    <row r="5">
      <c r="A5" s="72" t="s">
        <v>109</v>
      </c>
      <c r="B5" s="71">
        <v>46096.0</v>
      </c>
      <c r="C5" s="72" t="s">
        <v>78</v>
      </c>
      <c r="D5" s="73" t="s">
        <v>22</v>
      </c>
      <c r="E5" s="30" t="s">
        <v>23</v>
      </c>
      <c r="F5" s="36" t="s">
        <v>54</v>
      </c>
      <c r="G5" s="36" t="s">
        <v>57</v>
      </c>
      <c r="H5" s="36">
        <v>19.1</v>
      </c>
      <c r="I5" s="36">
        <v>49.0</v>
      </c>
      <c r="J5" s="36">
        <f t="shared" si="1"/>
        <v>39</v>
      </c>
      <c r="K5" s="33">
        <v>18.0</v>
      </c>
      <c r="L5" s="36">
        <f t="shared" si="2"/>
        <v>3</v>
      </c>
      <c r="M5" s="36">
        <f t="shared" si="3"/>
        <v>0</v>
      </c>
      <c r="N5" s="36">
        <v>1.0</v>
      </c>
      <c r="O5" s="36">
        <v>2.0</v>
      </c>
      <c r="P5" s="36">
        <v>3.0</v>
      </c>
      <c r="Q5" s="74">
        <f t="shared" si="4"/>
        <v>9</v>
      </c>
      <c r="R5" s="75"/>
    </row>
    <row r="6">
      <c r="A6" s="72" t="s">
        <v>109</v>
      </c>
      <c r="B6" s="71">
        <v>46096.0</v>
      </c>
      <c r="C6" s="72" t="s">
        <v>78</v>
      </c>
      <c r="D6" s="73" t="s">
        <v>104</v>
      </c>
      <c r="E6" s="30" t="s">
        <v>19</v>
      </c>
      <c r="F6" s="36" t="s">
        <v>54</v>
      </c>
      <c r="G6" s="36" t="s">
        <v>56</v>
      </c>
      <c r="H6" s="36">
        <v>19.1</v>
      </c>
      <c r="I6" s="36">
        <v>47.0</v>
      </c>
      <c r="J6" s="36">
        <f t="shared" si="1"/>
        <v>37</v>
      </c>
      <c r="K6" s="33">
        <v>16.0</v>
      </c>
      <c r="L6" s="36">
        <f t="shared" si="2"/>
        <v>3</v>
      </c>
      <c r="M6" s="36">
        <f t="shared" si="3"/>
        <v>2</v>
      </c>
      <c r="N6" s="36">
        <v>3.0</v>
      </c>
      <c r="O6" s="36">
        <v>4.0</v>
      </c>
      <c r="P6" s="36">
        <v>5.0</v>
      </c>
      <c r="Q6" s="74">
        <f t="shared" si="4"/>
        <v>17</v>
      </c>
      <c r="R6" s="75"/>
    </row>
    <row r="7">
      <c r="A7" s="72" t="s">
        <v>109</v>
      </c>
      <c r="B7" s="71">
        <v>46096.0</v>
      </c>
      <c r="C7" s="72" t="s">
        <v>78</v>
      </c>
      <c r="D7" s="73" t="s">
        <v>23</v>
      </c>
      <c r="E7" s="30" t="s">
        <v>22</v>
      </c>
      <c r="F7" s="36" t="s">
        <v>54</v>
      </c>
      <c r="G7" s="36" t="s">
        <v>57</v>
      </c>
      <c r="H7" s="36">
        <v>12.1</v>
      </c>
      <c r="I7" s="36">
        <v>46.0</v>
      </c>
      <c r="J7" s="36">
        <f t="shared" si="1"/>
        <v>39</v>
      </c>
      <c r="K7" s="33">
        <v>17.0</v>
      </c>
      <c r="L7" s="36">
        <f t="shared" si="2"/>
        <v>3</v>
      </c>
      <c r="M7" s="36">
        <f t="shared" si="3"/>
        <v>0</v>
      </c>
      <c r="N7" s="36">
        <v>4.0</v>
      </c>
      <c r="O7" s="36">
        <v>2.0</v>
      </c>
      <c r="P7" s="36">
        <v>4.0</v>
      </c>
      <c r="Q7" s="74">
        <f t="shared" si="4"/>
        <v>13</v>
      </c>
      <c r="R7" s="75"/>
    </row>
    <row r="8">
      <c r="A8" s="72" t="s">
        <v>109</v>
      </c>
      <c r="B8" s="71">
        <v>46096.0</v>
      </c>
      <c r="C8" s="72" t="s">
        <v>78</v>
      </c>
      <c r="D8" s="73" t="s">
        <v>28</v>
      </c>
      <c r="E8" s="30" t="s">
        <v>24</v>
      </c>
      <c r="F8" s="36" t="s">
        <v>54</v>
      </c>
      <c r="G8" s="36" t="s">
        <v>55</v>
      </c>
      <c r="H8" s="36">
        <v>28.5</v>
      </c>
      <c r="I8" s="36">
        <v>52.0</v>
      </c>
      <c r="J8" s="36">
        <f t="shared" si="1"/>
        <v>37</v>
      </c>
      <c r="K8" s="33">
        <v>18.0</v>
      </c>
      <c r="L8" s="36">
        <f t="shared" si="2"/>
        <v>3</v>
      </c>
      <c r="M8" s="36">
        <f t="shared" si="3"/>
        <v>5</v>
      </c>
      <c r="N8" s="36">
        <v>0.0</v>
      </c>
      <c r="O8" s="36">
        <v>4.0</v>
      </c>
      <c r="P8" s="36">
        <v>3.0</v>
      </c>
      <c r="Q8" s="74">
        <f t="shared" si="4"/>
        <v>15</v>
      </c>
      <c r="R8" s="75"/>
    </row>
    <row r="9">
      <c r="A9" s="72" t="s">
        <v>109</v>
      </c>
      <c r="B9" s="71">
        <v>46096.0</v>
      </c>
      <c r="C9" s="72" t="s">
        <v>78</v>
      </c>
      <c r="D9" s="73" t="s">
        <v>21</v>
      </c>
      <c r="E9" s="30" t="s">
        <v>110</v>
      </c>
      <c r="F9" s="36" t="s">
        <v>54</v>
      </c>
      <c r="G9" s="36" t="s">
        <v>55</v>
      </c>
      <c r="H9" s="36">
        <v>17.9</v>
      </c>
      <c r="I9" s="36">
        <v>48.0</v>
      </c>
      <c r="J9" s="36">
        <f t="shared" si="1"/>
        <v>39</v>
      </c>
      <c r="K9" s="33">
        <v>21.0</v>
      </c>
      <c r="L9" s="36">
        <f t="shared" si="2"/>
        <v>3</v>
      </c>
      <c r="M9" s="36">
        <f t="shared" si="3"/>
        <v>5</v>
      </c>
      <c r="N9" s="36">
        <v>2.0</v>
      </c>
      <c r="O9" s="36">
        <v>2.0</v>
      </c>
      <c r="P9" s="36">
        <v>0.0</v>
      </c>
      <c r="Q9" s="74">
        <f t="shared" si="4"/>
        <v>12</v>
      </c>
      <c r="R9" s="75"/>
    </row>
    <row r="10">
      <c r="A10" s="72" t="s">
        <v>109</v>
      </c>
      <c r="B10" s="71">
        <v>46096.0</v>
      </c>
      <c r="C10" s="72" t="s">
        <v>78</v>
      </c>
      <c r="D10" s="73" t="s">
        <v>24</v>
      </c>
      <c r="E10" s="30" t="s">
        <v>28</v>
      </c>
      <c r="F10" s="36" t="s">
        <v>54</v>
      </c>
      <c r="G10" s="36" t="s">
        <v>55</v>
      </c>
      <c r="H10" s="36">
        <v>12.3</v>
      </c>
      <c r="I10" s="36">
        <v>43.0</v>
      </c>
      <c r="J10" s="36">
        <f t="shared" si="1"/>
        <v>36</v>
      </c>
      <c r="K10" s="33">
        <v>19.0</v>
      </c>
      <c r="L10" s="36">
        <f t="shared" si="2"/>
        <v>3</v>
      </c>
      <c r="M10" s="36">
        <f t="shared" si="3"/>
        <v>5</v>
      </c>
      <c r="N10" s="36">
        <v>6.0</v>
      </c>
      <c r="O10" s="36">
        <v>6.0</v>
      </c>
      <c r="P10" s="36">
        <v>2.0</v>
      </c>
      <c r="Q10" s="74">
        <f t="shared" si="4"/>
        <v>22</v>
      </c>
      <c r="R10" s="75"/>
    </row>
    <row r="11">
      <c r="A11" s="72" t="s">
        <v>109</v>
      </c>
      <c r="B11" s="71">
        <v>46096.0</v>
      </c>
      <c r="C11" s="72" t="s">
        <v>78</v>
      </c>
      <c r="D11" s="73" t="s">
        <v>19</v>
      </c>
      <c r="E11" s="30" t="s">
        <v>104</v>
      </c>
      <c r="F11" s="36" t="s">
        <v>54</v>
      </c>
      <c r="G11" s="36" t="s">
        <v>56</v>
      </c>
      <c r="H11" s="36">
        <v>19.2</v>
      </c>
      <c r="I11" s="36">
        <v>48.0</v>
      </c>
      <c r="J11" s="36">
        <f t="shared" si="1"/>
        <v>38</v>
      </c>
      <c r="K11" s="33">
        <v>20.0</v>
      </c>
      <c r="L11" s="36">
        <f t="shared" si="2"/>
        <v>3</v>
      </c>
      <c r="M11" s="36">
        <f t="shared" si="3"/>
        <v>2</v>
      </c>
      <c r="N11" s="36">
        <v>2.0</v>
      </c>
      <c r="O11" s="36">
        <v>3.0</v>
      </c>
      <c r="P11" s="36">
        <v>1.0</v>
      </c>
      <c r="Q11" s="74">
        <f t="shared" si="4"/>
        <v>11</v>
      </c>
      <c r="R11" s="75"/>
    </row>
    <row r="12">
      <c r="A12" s="72" t="s">
        <v>111</v>
      </c>
      <c r="B12" s="71">
        <v>46104.0</v>
      </c>
      <c r="C12" s="72" t="s">
        <v>112</v>
      </c>
      <c r="D12" s="73" t="s">
        <v>20</v>
      </c>
      <c r="E12" s="30" t="s">
        <v>104</v>
      </c>
      <c r="F12" s="36" t="s">
        <v>54</v>
      </c>
      <c r="G12" s="36" t="s">
        <v>57</v>
      </c>
      <c r="H12" s="36">
        <v>17.9</v>
      </c>
      <c r="I12" s="36">
        <v>50.0</v>
      </c>
      <c r="J12" s="36">
        <f t="shared" si="1"/>
        <v>41</v>
      </c>
      <c r="K12" s="33">
        <v>19.0</v>
      </c>
      <c r="L12" s="36">
        <f t="shared" si="2"/>
        <v>3</v>
      </c>
      <c r="M12" s="36">
        <f t="shared" si="3"/>
        <v>0</v>
      </c>
      <c r="N12" s="36">
        <v>0.0</v>
      </c>
      <c r="O12" s="36">
        <v>1.0</v>
      </c>
      <c r="P12" s="36">
        <v>2.0</v>
      </c>
      <c r="Q12" s="74">
        <f t="shared" si="4"/>
        <v>6</v>
      </c>
      <c r="R12" s="75"/>
    </row>
    <row r="13">
      <c r="A13" s="72" t="s">
        <v>111</v>
      </c>
      <c r="B13" s="71">
        <v>46104.0</v>
      </c>
      <c r="C13" s="72" t="s">
        <v>112</v>
      </c>
      <c r="D13" s="73" t="s">
        <v>26</v>
      </c>
      <c r="E13" s="30" t="s">
        <v>22</v>
      </c>
      <c r="F13" s="36" t="s">
        <v>54</v>
      </c>
      <c r="G13" s="36" t="s">
        <v>56</v>
      </c>
      <c r="H13" s="36">
        <v>9.1</v>
      </c>
      <c r="I13" s="36">
        <v>43.0</v>
      </c>
      <c r="J13" s="36">
        <f t="shared" si="1"/>
        <v>38</v>
      </c>
      <c r="K13" s="33">
        <v>18.0</v>
      </c>
      <c r="L13" s="36">
        <f t="shared" si="2"/>
        <v>3</v>
      </c>
      <c r="M13" s="36">
        <f t="shared" si="3"/>
        <v>2</v>
      </c>
      <c r="N13" s="36">
        <v>6.0</v>
      </c>
      <c r="O13" s="36">
        <v>3.0</v>
      </c>
      <c r="P13" s="36">
        <v>3.0</v>
      </c>
      <c r="Q13" s="74">
        <f t="shared" si="4"/>
        <v>17</v>
      </c>
      <c r="R13" s="75"/>
    </row>
    <row r="14">
      <c r="A14" s="72" t="s">
        <v>111</v>
      </c>
      <c r="B14" s="71">
        <v>46104.0</v>
      </c>
      <c r="C14" s="72" t="s">
        <v>112</v>
      </c>
      <c r="D14" s="73" t="s">
        <v>22</v>
      </c>
      <c r="E14" s="30" t="s">
        <v>26</v>
      </c>
      <c r="F14" s="36" t="s">
        <v>54</v>
      </c>
      <c r="G14" s="36" t="s">
        <v>55</v>
      </c>
      <c r="H14" s="36">
        <v>19.1</v>
      </c>
      <c r="I14" s="36">
        <v>49.0</v>
      </c>
      <c r="J14" s="36">
        <f t="shared" si="1"/>
        <v>39</v>
      </c>
      <c r="K14" s="33">
        <v>18.0</v>
      </c>
      <c r="L14" s="36">
        <f t="shared" si="2"/>
        <v>3</v>
      </c>
      <c r="M14" s="36">
        <f t="shared" si="3"/>
        <v>5</v>
      </c>
      <c r="N14" s="36">
        <v>1.0</v>
      </c>
      <c r="O14" s="36">
        <v>2.0</v>
      </c>
      <c r="P14" s="36">
        <v>3.0</v>
      </c>
      <c r="Q14" s="74">
        <f t="shared" si="4"/>
        <v>14</v>
      </c>
      <c r="R14" s="75"/>
    </row>
    <row r="15">
      <c r="A15" s="72" t="s">
        <v>111</v>
      </c>
      <c r="B15" s="71">
        <v>46104.0</v>
      </c>
      <c r="C15" s="72" t="s">
        <v>112</v>
      </c>
      <c r="D15" s="73" t="s">
        <v>104</v>
      </c>
      <c r="E15" s="30" t="s">
        <v>20</v>
      </c>
      <c r="F15" s="36" t="s">
        <v>54</v>
      </c>
      <c r="G15" s="36" t="s">
        <v>55</v>
      </c>
      <c r="H15" s="36">
        <v>19.1</v>
      </c>
      <c r="I15" s="36">
        <v>47.0</v>
      </c>
      <c r="J15" s="36">
        <f t="shared" si="1"/>
        <v>37</v>
      </c>
      <c r="K15" s="33">
        <v>16.0</v>
      </c>
      <c r="L15" s="36">
        <f t="shared" si="2"/>
        <v>3</v>
      </c>
      <c r="M15" s="36">
        <f t="shared" si="3"/>
        <v>5</v>
      </c>
      <c r="N15" s="36">
        <v>3.0</v>
      </c>
      <c r="O15" s="36">
        <v>4.0</v>
      </c>
      <c r="P15" s="36">
        <v>5.0</v>
      </c>
      <c r="Q15" s="74">
        <f t="shared" si="4"/>
        <v>20</v>
      </c>
      <c r="R15" s="75"/>
    </row>
    <row r="16">
      <c r="A16" s="72" t="s">
        <v>111</v>
      </c>
      <c r="B16" s="71">
        <v>46104.0</v>
      </c>
      <c r="C16" s="72" t="s">
        <v>112</v>
      </c>
      <c r="D16" s="73" t="s">
        <v>23</v>
      </c>
      <c r="E16" s="30" t="s">
        <v>24</v>
      </c>
      <c r="F16" s="36" t="s">
        <v>54</v>
      </c>
      <c r="G16" s="36" t="s">
        <v>56</v>
      </c>
      <c r="H16" s="36">
        <v>12.1</v>
      </c>
      <c r="I16" s="36">
        <v>46.0</v>
      </c>
      <c r="J16" s="36">
        <f t="shared" si="1"/>
        <v>39</v>
      </c>
      <c r="K16" s="33">
        <v>17.0</v>
      </c>
      <c r="L16" s="36">
        <f t="shared" si="2"/>
        <v>3</v>
      </c>
      <c r="M16" s="36">
        <f t="shared" si="3"/>
        <v>2</v>
      </c>
      <c r="N16" s="36">
        <v>4.0</v>
      </c>
      <c r="O16" s="36">
        <v>2.0</v>
      </c>
      <c r="P16" s="36">
        <v>4.0</v>
      </c>
      <c r="Q16" s="74">
        <f t="shared" si="4"/>
        <v>15</v>
      </c>
      <c r="R16" s="75"/>
    </row>
    <row r="17">
      <c r="A17" s="72" t="s">
        <v>111</v>
      </c>
      <c r="B17" s="71">
        <v>46104.0</v>
      </c>
      <c r="C17" s="72" t="s">
        <v>112</v>
      </c>
      <c r="D17" s="73" t="s">
        <v>28</v>
      </c>
      <c r="E17" s="30" t="s">
        <v>6</v>
      </c>
      <c r="F17" s="36" t="s">
        <v>58</v>
      </c>
      <c r="G17" s="36" t="s">
        <v>57</v>
      </c>
      <c r="H17" s="36" t="s">
        <v>6</v>
      </c>
      <c r="I17" s="36" t="s">
        <v>6</v>
      </c>
      <c r="J17" s="36" t="s">
        <v>6</v>
      </c>
      <c r="K17" s="33" t="s">
        <v>6</v>
      </c>
      <c r="L17" s="36">
        <f t="shared" si="2"/>
        <v>0</v>
      </c>
      <c r="M17" s="36">
        <f t="shared" si="3"/>
        <v>0</v>
      </c>
      <c r="N17" s="36">
        <v>0.0</v>
      </c>
      <c r="O17" s="36">
        <v>0.0</v>
      </c>
      <c r="P17" s="36">
        <v>0.0</v>
      </c>
      <c r="Q17" s="74">
        <f t="shared" si="4"/>
        <v>0</v>
      </c>
      <c r="R17" s="75"/>
    </row>
    <row r="18">
      <c r="A18" s="72" t="s">
        <v>111</v>
      </c>
      <c r="B18" s="71">
        <v>46104.0</v>
      </c>
      <c r="C18" s="72" t="s">
        <v>112</v>
      </c>
      <c r="D18" s="73" t="s">
        <v>21</v>
      </c>
      <c r="E18" s="30" t="s">
        <v>19</v>
      </c>
      <c r="F18" s="36" t="s">
        <v>54</v>
      </c>
      <c r="G18" s="36" t="s">
        <v>56</v>
      </c>
      <c r="H18" s="36">
        <v>17.9</v>
      </c>
      <c r="I18" s="36">
        <v>48.0</v>
      </c>
      <c r="J18" s="36">
        <f t="shared" ref="J18:J20" si="5">I18-ROUNDUP(H18/2,0)</f>
        <v>39</v>
      </c>
      <c r="K18" s="33">
        <v>21.0</v>
      </c>
      <c r="L18" s="36">
        <f t="shared" si="2"/>
        <v>3</v>
      </c>
      <c r="M18" s="36">
        <f t="shared" si="3"/>
        <v>2</v>
      </c>
      <c r="N18" s="36">
        <v>2.0</v>
      </c>
      <c r="O18" s="36">
        <v>2.0</v>
      </c>
      <c r="P18" s="36">
        <v>0.0</v>
      </c>
      <c r="Q18" s="74">
        <f t="shared" si="4"/>
        <v>9</v>
      </c>
      <c r="R18" s="75"/>
    </row>
    <row r="19">
      <c r="A19" s="72" t="s">
        <v>111</v>
      </c>
      <c r="B19" s="71">
        <v>46104.0</v>
      </c>
      <c r="C19" s="72" t="s">
        <v>112</v>
      </c>
      <c r="D19" s="73" t="s">
        <v>24</v>
      </c>
      <c r="E19" s="30" t="s">
        <v>23</v>
      </c>
      <c r="F19" s="36" t="s">
        <v>54</v>
      </c>
      <c r="G19" s="36" t="s">
        <v>57</v>
      </c>
      <c r="H19" s="36">
        <v>12.3</v>
      </c>
      <c r="I19" s="36">
        <v>43.0</v>
      </c>
      <c r="J19" s="36">
        <f t="shared" si="5"/>
        <v>36</v>
      </c>
      <c r="K19" s="33">
        <v>19.0</v>
      </c>
      <c r="L19" s="36">
        <f t="shared" si="2"/>
        <v>3</v>
      </c>
      <c r="M19" s="36">
        <f t="shared" si="3"/>
        <v>0</v>
      </c>
      <c r="N19" s="36">
        <v>6.0</v>
      </c>
      <c r="O19" s="36">
        <v>6.0</v>
      </c>
      <c r="P19" s="36">
        <v>2.0</v>
      </c>
      <c r="Q19" s="74">
        <f t="shared" si="4"/>
        <v>17</v>
      </c>
      <c r="R19" s="75"/>
    </row>
    <row r="20">
      <c r="A20" s="72" t="s">
        <v>111</v>
      </c>
      <c r="B20" s="71">
        <v>46104.0</v>
      </c>
      <c r="C20" s="72" t="s">
        <v>112</v>
      </c>
      <c r="D20" s="73" t="s">
        <v>19</v>
      </c>
      <c r="E20" s="30" t="s">
        <v>24</v>
      </c>
      <c r="F20" s="36" t="s">
        <v>54</v>
      </c>
      <c r="G20" s="36" t="s">
        <v>56</v>
      </c>
      <c r="H20" s="36">
        <v>19.2</v>
      </c>
      <c r="I20" s="36">
        <v>48.0</v>
      </c>
      <c r="J20" s="36">
        <f t="shared" si="5"/>
        <v>38</v>
      </c>
      <c r="K20" s="33">
        <v>20.0</v>
      </c>
      <c r="L20" s="36">
        <f t="shared" si="2"/>
        <v>3</v>
      </c>
      <c r="M20" s="36">
        <f t="shared" si="3"/>
        <v>2</v>
      </c>
      <c r="N20" s="36">
        <v>2.0</v>
      </c>
      <c r="O20" s="36">
        <v>3.0</v>
      </c>
      <c r="P20" s="36">
        <v>1.0</v>
      </c>
      <c r="Q20" s="76">
        <f t="shared" si="4"/>
        <v>11</v>
      </c>
      <c r="R20" s="77"/>
    </row>
  </sheetData>
  <autoFilter ref="$A$2:$Q$20">
    <sortState ref="A2:Q20">
      <sortCondition ref="A2:A20"/>
      <sortCondition ref="D2:D20"/>
      <sortCondition ref="G2:G20"/>
      <sortCondition descending="1" ref="Q2:Q20"/>
      <sortCondition ref="K2:K20"/>
      <sortCondition ref="J2:J20"/>
      <sortCondition ref="I2:I20"/>
      <sortCondition descending="1" ref="C2:C20"/>
      <sortCondition descending="1" ref="B2:B20"/>
    </sortState>
  </autoFilter>
  <mergeCells count="3">
    <mergeCell ref="A1:D1"/>
    <mergeCell ref="E1:K1"/>
    <mergeCell ref="L1:P1"/>
  </mergeCells>
  <conditionalFormatting sqref="L1:L20">
    <cfRule type="cellIs" dxfId="0" priority="1" operator="equal">
      <formula>3</formula>
    </cfRule>
  </conditionalFormatting>
  <conditionalFormatting sqref="M2:M20">
    <cfRule type="cellIs" dxfId="0" priority="2" operator="equal">
      <formula>5</formula>
    </cfRule>
  </conditionalFormatting>
  <conditionalFormatting sqref="M2:M20">
    <cfRule type="cellIs" dxfId="1" priority="3" operator="equal">
      <formula>2</formula>
    </cfRule>
  </conditionalFormatting>
  <conditionalFormatting sqref="N2:P20">
    <cfRule type="cellIs" dxfId="0" priority="4" operator="greaterThanOrEqual">
      <formula>5</formula>
    </cfRule>
  </conditionalFormatting>
  <conditionalFormatting sqref="N2:P20">
    <cfRule type="cellIs" dxfId="1" priority="5" operator="equal">
      <formula>4</formula>
    </cfRule>
  </conditionalFormatting>
  <conditionalFormatting sqref="N2:P20">
    <cfRule type="cellIs" dxfId="2" priority="6" operator="equal">
      <formula>3</formula>
    </cfRule>
  </conditionalFormatting>
  <conditionalFormatting sqref="N2:P20">
    <cfRule type="cellIs" dxfId="3" priority="7" operator="equal">
      <formula>2</formula>
    </cfRule>
  </conditionalFormatting>
  <conditionalFormatting sqref="N2:P20">
    <cfRule type="cellIs" dxfId="4" priority="8" operator="equal">
      <formula>1</formula>
    </cfRule>
  </conditionalFormatting>
  <conditionalFormatting sqref="L1:Q20">
    <cfRule type="cellIs" dxfId="5" priority="9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3" max="3" width="11.5"/>
    <col customWidth="1" min="4" max="4" width="5.75"/>
    <col customWidth="1" min="5" max="5" width="4.75"/>
    <col customWidth="1" min="6" max="6" width="3.63"/>
    <col customWidth="1" min="7" max="7" width="3.88"/>
    <col customWidth="1" min="8" max="8" width="3.38"/>
    <col customWidth="1" min="9" max="9" width="5.5"/>
    <col customWidth="1" min="10" max="10" width="6.38"/>
    <col customWidth="1" min="11" max="11" width="4.88"/>
    <col customWidth="1" min="12" max="12" width="4.5"/>
    <col customWidth="1" min="13" max="13" width="1.63"/>
  </cols>
  <sheetData>
    <row r="1">
      <c r="A1" s="34"/>
      <c r="B1" s="199" t="s">
        <v>34</v>
      </c>
      <c r="C1" s="200" t="s">
        <v>113</v>
      </c>
      <c r="D1" s="201" t="s">
        <v>22</v>
      </c>
      <c r="E1" s="201" t="s">
        <v>24</v>
      </c>
      <c r="F1" s="201" t="s">
        <v>104</v>
      </c>
      <c r="G1" s="201" t="s">
        <v>21</v>
      </c>
      <c r="H1" s="201" t="s">
        <v>23</v>
      </c>
      <c r="I1" s="201" t="s">
        <v>28</v>
      </c>
      <c r="J1" s="201" t="s">
        <v>26</v>
      </c>
      <c r="K1" s="201" t="s">
        <v>19</v>
      </c>
      <c r="L1" s="202" t="s">
        <v>20</v>
      </c>
      <c r="M1" s="38"/>
    </row>
    <row r="2" ht="4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8"/>
    </row>
    <row r="3">
      <c r="A3" s="34"/>
      <c r="B3" s="203" t="s">
        <v>114</v>
      </c>
      <c r="C3" s="204" t="s">
        <v>96</v>
      </c>
      <c r="D3" s="205">
        <v>3.0</v>
      </c>
      <c r="E3" s="205">
        <v>3.0</v>
      </c>
      <c r="F3" s="205">
        <v>3.0</v>
      </c>
      <c r="G3" s="205">
        <v>3.0</v>
      </c>
      <c r="H3" s="205">
        <v>3.0</v>
      </c>
      <c r="I3" s="205">
        <v>3.0</v>
      </c>
      <c r="J3" s="205">
        <v>3.0</v>
      </c>
      <c r="K3" s="205">
        <v>3.0</v>
      </c>
      <c r="L3" s="206">
        <v>3.0</v>
      </c>
      <c r="M3" s="38"/>
    </row>
    <row r="4">
      <c r="A4" s="34"/>
      <c r="B4" s="207"/>
      <c r="C4" s="208" t="s">
        <v>115</v>
      </c>
      <c r="D4" s="36" t="s">
        <v>51</v>
      </c>
      <c r="E4" s="36">
        <v>5.0</v>
      </c>
      <c r="F4" s="36">
        <v>2.0</v>
      </c>
      <c r="G4" s="36">
        <v>5.0</v>
      </c>
      <c r="H4" s="36" t="s">
        <v>51</v>
      </c>
      <c r="I4" s="36">
        <v>5.0</v>
      </c>
      <c r="J4" s="36">
        <v>2.0</v>
      </c>
      <c r="K4" s="36">
        <v>2.0</v>
      </c>
      <c r="L4" s="33">
        <v>2.0</v>
      </c>
      <c r="M4" s="38"/>
    </row>
    <row r="5">
      <c r="A5" s="34"/>
      <c r="B5" s="207"/>
      <c r="C5" s="208" t="s">
        <v>94</v>
      </c>
      <c r="D5" s="36">
        <v>1.0</v>
      </c>
      <c r="E5" s="36">
        <v>6.0</v>
      </c>
      <c r="F5" s="36">
        <v>3.0</v>
      </c>
      <c r="G5" s="36">
        <v>2.0</v>
      </c>
      <c r="H5" s="36">
        <v>4.0</v>
      </c>
      <c r="I5" s="36" t="s">
        <v>51</v>
      </c>
      <c r="J5" s="36">
        <v>6.0</v>
      </c>
      <c r="K5" s="36">
        <v>2.0</v>
      </c>
      <c r="L5" s="36" t="s">
        <v>51</v>
      </c>
      <c r="M5" s="38"/>
    </row>
    <row r="6">
      <c r="A6" s="34"/>
      <c r="B6" s="207"/>
      <c r="C6" s="208" t="s">
        <v>95</v>
      </c>
      <c r="D6" s="36">
        <v>2.0</v>
      </c>
      <c r="E6" s="36">
        <v>6.0</v>
      </c>
      <c r="F6" s="36">
        <v>4.0</v>
      </c>
      <c r="G6" s="36">
        <v>2.0</v>
      </c>
      <c r="H6" s="36">
        <v>2.0</v>
      </c>
      <c r="I6" s="36">
        <v>4.0</v>
      </c>
      <c r="J6" s="36">
        <v>3.0</v>
      </c>
      <c r="K6" s="36">
        <v>3.0</v>
      </c>
      <c r="L6" s="36">
        <v>1.0</v>
      </c>
      <c r="M6" s="38"/>
    </row>
    <row r="7">
      <c r="A7" s="34"/>
      <c r="B7" s="207"/>
      <c r="C7" s="208" t="s">
        <v>42</v>
      </c>
      <c r="D7" s="36">
        <v>3.0</v>
      </c>
      <c r="E7" s="36">
        <v>3.0</v>
      </c>
      <c r="F7" s="36">
        <v>5.0</v>
      </c>
      <c r="G7" s="36" t="s">
        <v>51</v>
      </c>
      <c r="H7" s="36">
        <v>4.0</v>
      </c>
      <c r="I7" s="36">
        <v>2.0</v>
      </c>
      <c r="J7" s="36">
        <v>3.0</v>
      </c>
      <c r="K7" s="36">
        <v>1.0</v>
      </c>
      <c r="L7" s="36">
        <v>2.0</v>
      </c>
      <c r="M7" s="38"/>
    </row>
    <row r="8">
      <c r="A8" s="34"/>
      <c r="B8" s="209"/>
      <c r="C8" s="210" t="s">
        <v>116</v>
      </c>
      <c r="D8" s="211">
        <f t="shared" ref="D8:L8" si="1">SUM(D3:D7)</f>
        <v>9</v>
      </c>
      <c r="E8" s="211">
        <f t="shared" si="1"/>
        <v>23</v>
      </c>
      <c r="F8" s="211">
        <f t="shared" si="1"/>
        <v>17</v>
      </c>
      <c r="G8" s="211">
        <f t="shared" si="1"/>
        <v>12</v>
      </c>
      <c r="H8" s="211">
        <f t="shared" si="1"/>
        <v>13</v>
      </c>
      <c r="I8" s="211">
        <f t="shared" si="1"/>
        <v>14</v>
      </c>
      <c r="J8" s="211">
        <f t="shared" si="1"/>
        <v>17</v>
      </c>
      <c r="K8" s="211">
        <f t="shared" si="1"/>
        <v>11</v>
      </c>
      <c r="L8" s="211">
        <f t="shared" si="1"/>
        <v>8</v>
      </c>
      <c r="M8" s="38"/>
    </row>
    <row r="9" ht="6.0" customHeight="1">
      <c r="A9" s="38"/>
      <c r="B9" s="212"/>
      <c r="C9" s="213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>
      <c r="A10" s="34"/>
      <c r="B10" s="203" t="s">
        <v>117</v>
      </c>
      <c r="C10" s="204" t="s">
        <v>96</v>
      </c>
      <c r="D10" s="205"/>
      <c r="E10" s="205"/>
      <c r="F10" s="205"/>
      <c r="G10" s="205"/>
      <c r="H10" s="205"/>
      <c r="I10" s="205"/>
      <c r="J10" s="205"/>
      <c r="K10" s="205"/>
      <c r="L10" s="206"/>
      <c r="M10" s="38"/>
    </row>
    <row r="11">
      <c r="A11" s="34"/>
      <c r="B11" s="207"/>
      <c r="C11" s="208" t="s">
        <v>115</v>
      </c>
      <c r="D11" s="36"/>
      <c r="E11" s="36"/>
      <c r="F11" s="36"/>
      <c r="G11" s="36"/>
      <c r="H11" s="36"/>
      <c r="I11" s="36"/>
      <c r="J11" s="36"/>
      <c r="K11" s="36"/>
      <c r="L11" s="33"/>
      <c r="M11" s="38"/>
    </row>
    <row r="12">
      <c r="A12" s="34"/>
      <c r="B12" s="207"/>
      <c r="C12" s="208" t="s">
        <v>94</v>
      </c>
      <c r="D12" s="36"/>
      <c r="E12" s="36"/>
      <c r="F12" s="36"/>
      <c r="G12" s="36"/>
      <c r="H12" s="36"/>
      <c r="I12" s="36"/>
      <c r="J12" s="36"/>
      <c r="K12" s="36"/>
      <c r="L12" s="36"/>
      <c r="M12" s="38"/>
    </row>
    <row r="13">
      <c r="A13" s="34"/>
      <c r="B13" s="207"/>
      <c r="C13" s="208" t="s">
        <v>95</v>
      </c>
      <c r="D13" s="36"/>
      <c r="E13" s="36"/>
      <c r="F13" s="36"/>
      <c r="G13" s="36"/>
      <c r="H13" s="36"/>
      <c r="I13" s="36"/>
      <c r="J13" s="36"/>
      <c r="K13" s="36"/>
      <c r="L13" s="36"/>
      <c r="M13" s="38"/>
    </row>
    <row r="14">
      <c r="A14" s="34"/>
      <c r="B14" s="207"/>
      <c r="C14" s="208" t="s">
        <v>42</v>
      </c>
      <c r="D14" s="36"/>
      <c r="E14" s="36"/>
      <c r="F14" s="36"/>
      <c r="G14" s="36"/>
      <c r="H14" s="36"/>
      <c r="I14" s="36"/>
      <c r="J14" s="36"/>
      <c r="K14" s="36"/>
      <c r="L14" s="36"/>
      <c r="M14" s="38"/>
    </row>
    <row r="15">
      <c r="A15" s="34"/>
      <c r="B15" s="209"/>
      <c r="C15" s="210" t="s">
        <v>116</v>
      </c>
      <c r="D15" s="211"/>
      <c r="E15" s="211"/>
      <c r="F15" s="211"/>
      <c r="G15" s="211"/>
      <c r="H15" s="211"/>
      <c r="I15" s="211"/>
      <c r="J15" s="211"/>
      <c r="K15" s="211"/>
      <c r="L15" s="211"/>
      <c r="M15" s="38"/>
    </row>
    <row r="16" ht="6.0" customHeight="1">
      <c r="A16" s="38"/>
      <c r="B16" s="212"/>
      <c r="C16" s="213"/>
      <c r="D16" s="38"/>
      <c r="E16" s="38"/>
      <c r="F16" s="38"/>
      <c r="G16" s="38"/>
      <c r="H16" s="38"/>
      <c r="I16" s="38"/>
      <c r="J16" s="38"/>
      <c r="K16" s="38"/>
      <c r="L16" s="38"/>
      <c r="M16" s="38"/>
    </row>
  </sheetData>
  <mergeCells count="2">
    <mergeCell ref="B3:B8"/>
    <mergeCell ref="B10:B15"/>
  </mergeCells>
  <conditionalFormatting sqref="D7:L8 D14:L15">
    <cfRule type="cellIs" dxfId="0" priority="1" operator="equal">
      <formula>5</formula>
    </cfRule>
  </conditionalFormatting>
  <conditionalFormatting sqref="D7:L8 D14:L15">
    <cfRule type="cellIs" dxfId="1" priority="2" operator="equal">
      <formula>4</formula>
    </cfRule>
  </conditionalFormatting>
  <conditionalFormatting sqref="D7:L8 D14:L15">
    <cfRule type="cellIs" dxfId="2" priority="3" operator="equal">
      <formula>3</formula>
    </cfRule>
  </conditionalFormatting>
  <conditionalFormatting sqref="D7:L8 D14:L15">
    <cfRule type="cellIs" dxfId="3" priority="4" operator="equal">
      <formula>2</formula>
    </cfRule>
  </conditionalFormatting>
  <conditionalFormatting sqref="D7:L8 D14:L15">
    <cfRule type="cellIs" dxfId="4" priority="5" operator="equal">
      <formula>1</formula>
    </cfRule>
  </conditionalFormatting>
  <conditionalFormatting sqref="D7:L8 D14:L15">
    <cfRule type="cellIs" dxfId="6" priority="6" operator="equal">
      <formula>"-"</formula>
    </cfRule>
  </conditionalFormatting>
  <conditionalFormatting sqref="D6:L7 D13:L14">
    <cfRule type="cellIs" dxfId="0" priority="7" operator="equal">
      <formula>6</formula>
    </cfRule>
  </conditionalFormatting>
  <conditionalFormatting sqref="D6:L7 D13:L14">
    <cfRule type="cellIs" dxfId="1" priority="8" operator="equal">
      <formula>4</formula>
    </cfRule>
  </conditionalFormatting>
  <conditionalFormatting sqref="D6:L7 D13:L14">
    <cfRule type="cellIs" dxfId="2" priority="9" operator="equal">
      <formula>3</formula>
    </cfRule>
  </conditionalFormatting>
  <conditionalFormatting sqref="D6:L7 D13:L14">
    <cfRule type="cellIs" dxfId="3" priority="10" operator="equal">
      <formula>2</formula>
    </cfRule>
  </conditionalFormatting>
  <conditionalFormatting sqref="D6:L7 D13:L14">
    <cfRule type="cellIs" dxfId="4" priority="11" operator="equal">
      <formula>1</formula>
    </cfRule>
  </conditionalFormatting>
  <conditionalFormatting sqref="D6:L7 D13:L14">
    <cfRule type="cellIs" dxfId="6" priority="12" operator="equal">
      <formula>"-"</formula>
    </cfRule>
  </conditionalFormatting>
  <conditionalFormatting sqref="D3:L3 D10:L10">
    <cfRule type="cellIs" dxfId="0" priority="13" operator="equal">
      <formula>3</formula>
    </cfRule>
  </conditionalFormatting>
  <conditionalFormatting sqref="D3:L3 D10:L10">
    <cfRule type="cellIs" dxfId="6" priority="14" operator="equal">
      <formula>"-"</formula>
    </cfRule>
  </conditionalFormatting>
  <conditionalFormatting sqref="D4:L4 D11:L11">
    <cfRule type="cellIs" dxfId="0" priority="15" operator="equal">
      <formula>5</formula>
    </cfRule>
  </conditionalFormatting>
  <conditionalFormatting sqref="D4:L4 D11:L11">
    <cfRule type="cellIs" dxfId="1" priority="16" operator="equal">
      <formula>2</formula>
    </cfRule>
  </conditionalFormatting>
  <conditionalFormatting sqref="D4:L4 D11:L11">
    <cfRule type="cellIs" dxfId="6" priority="17" operator="equal">
      <formula>"-"</formula>
    </cfRule>
  </conditionalFormatting>
  <conditionalFormatting sqref="D5:L5 D12:L12">
    <cfRule type="cellIs" dxfId="0" priority="18" operator="equal">
      <formula>6</formula>
    </cfRule>
  </conditionalFormatting>
  <conditionalFormatting sqref="D5:L5 D12:L12">
    <cfRule type="cellIs" dxfId="1" priority="19" operator="equal">
      <formula>4</formula>
    </cfRule>
  </conditionalFormatting>
  <conditionalFormatting sqref="D5:L5 D12:L12">
    <cfRule type="cellIs" dxfId="2" priority="20" operator="equal">
      <formula>3</formula>
    </cfRule>
  </conditionalFormatting>
  <conditionalFormatting sqref="D5:L5 D12:L12">
    <cfRule type="cellIs" dxfId="3" priority="21" operator="equal">
      <formula>2</formula>
    </cfRule>
  </conditionalFormatting>
  <conditionalFormatting sqref="D5:L5 D12:L12">
    <cfRule type="cellIs" dxfId="4" priority="22" operator="equal">
      <formula>1</formula>
    </cfRule>
  </conditionalFormatting>
  <conditionalFormatting sqref="D5:L5 D12:L12">
    <cfRule type="cellIs" dxfId="6" priority="23" operator="equal">
      <formula>"-"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63"/>
    <col customWidth="1" min="2" max="2" width="8.63"/>
    <col customWidth="1" min="3" max="3" width="10.25"/>
    <col customWidth="1" min="4" max="4" width="5.38"/>
    <col customWidth="1" min="5" max="5" width="4.75"/>
    <col customWidth="1" min="6" max="8" width="4.25"/>
    <col customWidth="1" min="9" max="9" width="5.5"/>
    <col customWidth="1" min="10" max="10" width="6.38"/>
    <col customWidth="1" min="11" max="11" width="4.88"/>
    <col customWidth="1" min="12" max="12" width="4.5"/>
    <col customWidth="1" min="13" max="13" width="6.63"/>
  </cols>
  <sheetData>
    <row r="1">
      <c r="A1" s="214" t="s">
        <v>118</v>
      </c>
      <c r="B1" s="215" t="s">
        <v>34</v>
      </c>
      <c r="C1" s="216" t="s">
        <v>119</v>
      </c>
      <c r="D1" s="217" t="s">
        <v>22</v>
      </c>
      <c r="E1" s="217" t="s">
        <v>24</v>
      </c>
      <c r="F1" s="217" t="s">
        <v>104</v>
      </c>
      <c r="G1" s="217" t="s">
        <v>21</v>
      </c>
      <c r="H1" s="217" t="s">
        <v>23</v>
      </c>
      <c r="I1" s="217" t="s">
        <v>28</v>
      </c>
      <c r="J1" s="217" t="s">
        <v>26</v>
      </c>
      <c r="K1" s="217" t="s">
        <v>19</v>
      </c>
      <c r="L1" s="218" t="s">
        <v>20</v>
      </c>
      <c r="M1" s="219"/>
    </row>
    <row r="2" ht="6.0" customHeight="1">
      <c r="A2" s="220"/>
      <c r="B2" s="220"/>
      <c r="C2" s="221"/>
      <c r="D2" s="222"/>
      <c r="E2" s="222"/>
      <c r="F2" s="222"/>
      <c r="G2" s="222"/>
      <c r="H2" s="222"/>
      <c r="I2" s="222"/>
      <c r="J2" s="222"/>
      <c r="K2" s="222"/>
      <c r="L2" s="222"/>
      <c r="M2" s="222"/>
    </row>
    <row r="3">
      <c r="A3" s="220"/>
      <c r="B3" s="223" t="s">
        <v>120</v>
      </c>
      <c r="C3" s="224" t="s">
        <v>110</v>
      </c>
      <c r="D3" s="225">
        <v>19.1</v>
      </c>
      <c r="E3" s="225">
        <v>12.3</v>
      </c>
      <c r="F3" s="225">
        <v>19.1</v>
      </c>
      <c r="G3" s="225">
        <v>17.9</v>
      </c>
      <c r="H3" s="225">
        <v>12.1</v>
      </c>
      <c r="I3" s="225">
        <v>28.5</v>
      </c>
      <c r="J3" s="225">
        <v>9.1</v>
      </c>
      <c r="K3" s="225">
        <v>19.2</v>
      </c>
      <c r="L3" s="226">
        <v>17.9</v>
      </c>
      <c r="M3" s="222"/>
    </row>
    <row r="4">
      <c r="A4" s="220"/>
      <c r="B4" s="207"/>
      <c r="C4" s="227" t="s">
        <v>121</v>
      </c>
      <c r="D4" s="228">
        <v>49.0</v>
      </c>
      <c r="E4" s="228">
        <v>43.0</v>
      </c>
      <c r="F4" s="228">
        <v>47.0</v>
      </c>
      <c r="G4" s="228">
        <v>48.0</v>
      </c>
      <c r="H4" s="228">
        <v>46.0</v>
      </c>
      <c r="I4" s="228">
        <v>52.0</v>
      </c>
      <c r="J4" s="228">
        <v>43.0</v>
      </c>
      <c r="K4" s="228">
        <v>48.0</v>
      </c>
      <c r="L4" s="229">
        <v>50.0</v>
      </c>
      <c r="M4" s="222"/>
    </row>
    <row r="5">
      <c r="A5" s="220"/>
      <c r="B5" s="207"/>
      <c r="C5" s="227" t="s">
        <v>122</v>
      </c>
      <c r="D5" s="230">
        <f t="shared" ref="D5:L5" si="1">D4-ROUNDUP((D3/2),0)</f>
        <v>39</v>
      </c>
      <c r="E5" s="230">
        <f t="shared" si="1"/>
        <v>36</v>
      </c>
      <c r="F5" s="230">
        <f t="shared" si="1"/>
        <v>37</v>
      </c>
      <c r="G5" s="230">
        <f t="shared" si="1"/>
        <v>39</v>
      </c>
      <c r="H5" s="230">
        <f t="shared" si="1"/>
        <v>39</v>
      </c>
      <c r="I5" s="230">
        <f t="shared" si="1"/>
        <v>37</v>
      </c>
      <c r="J5" s="230">
        <f t="shared" si="1"/>
        <v>38</v>
      </c>
      <c r="K5" s="230">
        <f t="shared" si="1"/>
        <v>38</v>
      </c>
      <c r="L5" s="231">
        <f t="shared" si="1"/>
        <v>41</v>
      </c>
      <c r="M5" s="222"/>
    </row>
    <row r="6">
      <c r="A6" s="220"/>
      <c r="B6" s="209"/>
      <c r="C6" s="232" t="s">
        <v>42</v>
      </c>
      <c r="D6" s="233">
        <v>18.0</v>
      </c>
      <c r="E6" s="233">
        <v>18.0</v>
      </c>
      <c r="F6" s="233">
        <v>16.0</v>
      </c>
      <c r="G6" s="233">
        <v>21.0</v>
      </c>
      <c r="H6" s="233">
        <v>17.0</v>
      </c>
      <c r="I6" s="233">
        <v>19.0</v>
      </c>
      <c r="J6" s="233">
        <v>18.0</v>
      </c>
      <c r="K6" s="233">
        <v>20.0</v>
      </c>
      <c r="L6" s="234">
        <v>19.0</v>
      </c>
      <c r="M6" s="222"/>
    </row>
    <row r="7" ht="3.75" customHeight="1">
      <c r="A7" s="220"/>
      <c r="B7" s="235"/>
      <c r="C7" s="236"/>
      <c r="D7" s="222"/>
      <c r="E7" s="222"/>
      <c r="F7" s="222"/>
      <c r="G7" s="222"/>
      <c r="H7" s="222"/>
      <c r="I7" s="222"/>
      <c r="J7" s="222"/>
      <c r="K7" s="222"/>
      <c r="L7" s="222"/>
      <c r="M7" s="222"/>
    </row>
    <row r="8">
      <c r="A8" s="220"/>
      <c r="B8" s="223" t="s">
        <v>117</v>
      </c>
      <c r="C8" s="224" t="s">
        <v>110</v>
      </c>
      <c r="D8" s="237"/>
      <c r="E8" s="237"/>
      <c r="F8" s="237"/>
      <c r="G8" s="237"/>
      <c r="H8" s="237"/>
      <c r="I8" s="237"/>
      <c r="J8" s="237"/>
      <c r="K8" s="237"/>
      <c r="L8" s="238"/>
      <c r="M8" s="222"/>
    </row>
    <row r="9">
      <c r="A9" s="220"/>
      <c r="B9" s="207"/>
      <c r="C9" s="227" t="s">
        <v>121</v>
      </c>
      <c r="D9" s="239"/>
      <c r="E9" s="239"/>
      <c r="F9" s="239"/>
      <c r="G9" s="239"/>
      <c r="H9" s="239"/>
      <c r="I9" s="239"/>
      <c r="J9" s="239"/>
      <c r="K9" s="239"/>
      <c r="L9" s="240"/>
      <c r="M9" s="222"/>
    </row>
    <row r="10">
      <c r="A10" s="220"/>
      <c r="B10" s="207"/>
      <c r="C10" s="227" t="s">
        <v>122</v>
      </c>
      <c r="L10" s="241"/>
      <c r="M10" s="222"/>
    </row>
    <row r="11">
      <c r="A11" s="220"/>
      <c r="B11" s="209"/>
      <c r="C11" s="232" t="s">
        <v>42</v>
      </c>
      <c r="D11" s="242"/>
      <c r="E11" s="242"/>
      <c r="F11" s="242"/>
      <c r="G11" s="242"/>
      <c r="H11" s="242"/>
      <c r="I11" s="242"/>
      <c r="J11" s="242"/>
      <c r="K11" s="242"/>
      <c r="L11" s="243"/>
      <c r="M11" s="222"/>
    </row>
    <row r="12" ht="6.75" customHeight="1">
      <c r="A12" s="222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</row>
  </sheetData>
  <mergeCells count="2">
    <mergeCell ref="B3:B6"/>
    <mergeCell ref="B8:B11"/>
  </mergeCells>
  <conditionalFormatting sqref="D4:L4">
    <cfRule type="expression" dxfId="0" priority="1">
      <formula>D4=SMALL($D$4:$L$4,1)</formula>
    </cfRule>
  </conditionalFormatting>
  <conditionalFormatting sqref="D4:L4">
    <cfRule type="expression" dxfId="1" priority="2">
      <formula>D4=SMALL($D$4:$L$4,COUNTIF($D$4:$L$4,MIN($D$4:$L$4))+1)</formula>
    </cfRule>
  </conditionalFormatting>
  <conditionalFormatting sqref="D4:L4">
    <cfRule type="expression" dxfId="2" priority="3">
      <formula>D4=SMALL($D$4:$L$4,COUNTIF($D$4:$L$4,MIN($D$4:$L$4))+COUNTIF($D$4:$L$4,SMALL($D$4:$L$4,COUNTIF($D$4:$L$4,MIN($D$4:$L$4))+1))+1)</formula>
    </cfRule>
  </conditionalFormatting>
  <conditionalFormatting sqref="D4:L4">
    <cfRule type="expression" dxfId="3" priority="4">
      <formula>D4=SMALL($D$4:$L$4,COUNTIF($D$4:$L$4,MIN($D$4:$L$4))+COUNTIF($D$4:$L$4,SMALL($D$4:$L$4,COUNTIF($D$4:$L$4,MIN($D$4:$L$4))+1))+COUNTIF($D$4:$L$4,SMALL($D$4:$L$4,COUNTIF($D$4:$L$4,MIN($D$4:$L$4))+COUNTIF($D$4:$L$4,SMALL($D$4:$L$4,COUNTIF($D$4:$L$4,MIN($D$4:$L$4))+1))+1))+1)</formula>
    </cfRule>
  </conditionalFormatting>
  <conditionalFormatting sqref="D4:L4">
    <cfRule type="expression" dxfId="4" priority="5">
      <formula>D4=SMALL($D$4:$L$4,COUNTIF($D$4:$L$4,MIN($D$4:$L$4))+COUNTIF($D$4:$L$4,SMALL($D$4:$L$4,COUNTIF($D$4:$L$4,MIN($D$4:$L$4))+1))+COUNTIF($D$4:$L$4,SMALL($D$4:$L$4,COUNTIF($D$4:$L$4,MIN($D$4:$L$4))+COUNTIF($D$4:$L$4,SMALL($D$4:$L$4,COUNTIF($D$4:$L$4,MIN($D$4:$L$4))+1))+1))+COUNTIF($D$4:$L$4,SMALL($D$4:$L$4,COUNTIF($D$4:$L$4,MIN($D$4:$L$4))+COUNTIF($D$4:$L$4,SMALL($D$4:$L$4,COUNTIF($D$4:$L$4,MIN($D$4:$L$4))+1))+COUNTIF($D$4:$L$4,SMALL($D$4:$L$4,COUNTIF($D$4:$L$4,MIN($D$4:$L$4))+COUNTIF($D$4:$L$4,SMALL($D$4:$L$4,COUNTIF($D$4:$L$4,MIN($D$4:$L$4))+1))+1))+1))+1)</formula>
    </cfRule>
  </conditionalFormatting>
  <conditionalFormatting sqref="D5:L5">
    <cfRule type="expression" dxfId="0" priority="6">
      <formula>D5=SMALL($D$5:$L$5,1)</formula>
    </cfRule>
  </conditionalFormatting>
  <conditionalFormatting sqref="D5:L5">
    <cfRule type="expression" dxfId="1" priority="7">
      <formula>D5=SMALL($D$5:$L$5,COUNTIF($D$5:$L$5,MIN($D$5:$L$5))+1)</formula>
    </cfRule>
  </conditionalFormatting>
  <conditionalFormatting sqref="D5:L5">
    <cfRule type="expression" dxfId="2" priority="8">
      <formula>D5=SMALL($D$5:$L$5,COUNTIF($D$5:$L$5,MIN($D$5:$L$5))+COUNTIF($D$5:$L$5,SMALL($D$5:$L$5,COUNTIF($D$5:$L$5,MIN($D$5:$L$5))+1))+1)</formula>
    </cfRule>
  </conditionalFormatting>
  <conditionalFormatting sqref="D5:L5">
    <cfRule type="expression" dxfId="3" priority="9">
      <formula>D5=SMALL($D$5:$L$5,COUNTIF($D$5:$L$5,MIN($D$5:$L$5))+COUNTIF($D$5:$L$5,SMALL($D$5:$L$5,COUNTIF($D$5:$L$5,MIN($D$5:$L$5))+1))+COUNTIF($D$5:$L$5,SMALL($D$5:$L$5,COUNTIF($D$5:$L$5,MIN($D$5:$L$5))+COUNTIF($D$5:$L$5,SMALL($D$5:$L$5,COUNTIF($D$5:$L$5,MIN($D$5:$L$5))+1))+1))+1)</formula>
    </cfRule>
  </conditionalFormatting>
  <conditionalFormatting sqref="D5:L5">
    <cfRule type="expression" dxfId="4" priority="10">
      <formula>D5=SMALL($D$5:$L$5,COUNTIF($D$5:$L$5,MIN($D$5:$L$5))+COUNTIF($D$5:$L$5,SMALL($D$5:$L$5,COUNTIF($D$5:$L$5,MIN($D$5:$L$5))+1))+COUNTIF($D$5:$L$5,SMALL($D$5:$L$5,COUNTIF($D$5:$L$5,MIN($D$5:$L$5))+COUNTIF($D$5:$L$5,SMALL($D$5:$L$5,COUNTIF($D$5:$L$5,MIN($D$5:$L$5))+1))+1))+COUNTIF($D$5:$L$5,SMALL($D$5:$L$5,COUNTIF($D$5:$L$5,MIN($D$5:$L$5))+COUNTIF($D$5:$L$5,SMALL($D$5:$L$5,COUNTIF($D$5:$L$5,MIN($D$5:$L$5))+1))+COUNTIF($D$5:$L$5,SMALL($D$5:$L$5,COUNTIF($D$5:$L$5,MIN($D$5:$L$5))+COUNTIF($D$5:$L$5,SMALL($D$5:$L$5,COUNTIF($D$5:$L$5,MIN($D$5:$L$5))+1))+1))+1))+1)</formula>
    </cfRule>
  </conditionalFormatting>
  <conditionalFormatting sqref="D6:L6">
    <cfRule type="expression" dxfId="0" priority="11">
      <formula>D6=SMALL($D$6:$L$6,1)</formula>
    </cfRule>
  </conditionalFormatting>
  <conditionalFormatting sqref="D6:L6">
    <cfRule type="expression" dxfId="1" priority="12">
      <formula>D6=SMALL($D$6:$L$6,COUNTIF($D$6:$L$6,MIN($D$6:$L$6))+1)</formula>
    </cfRule>
  </conditionalFormatting>
  <conditionalFormatting sqref="D6:L6">
    <cfRule type="expression" dxfId="2" priority="13">
      <formula>D6=SMALL($D$6:$L$6,COUNTIF($D$6:$L$6,MIN($D$6:$L$6))+COUNTIF($D$6:$L$6,SMALL($D$6:$L$6,COUNTIF($D$6:$L$6,MIN($D$6:$L$6))+1))+1)</formula>
    </cfRule>
  </conditionalFormatting>
  <conditionalFormatting sqref="D6:L6">
    <cfRule type="expression" dxfId="3" priority="14">
      <formula>D6=SMALL($D$6:$L$6,COUNTIF($D$6:$L$6,MIN($D$6:$L$6))+COUNTIF($D$6:$L$6,SMALL($D$6:$L$6,COUNTIF($D$6:$L$6,MIN($D$6:$L$6))+1))+COUNTIF($D$6:$L$6,SMALL($D$6:$L$6,COUNTIF($D$6:$L$6,MIN($D$6:$L$6))+COUNTIF($D$6:$L$6,SMALL($D$6:$L$6,COUNTIF($D$6:$L$6,MIN($D$6:$L$6))+1))+1))+1)</formula>
    </cfRule>
  </conditionalFormatting>
  <conditionalFormatting sqref="D6:L6">
    <cfRule type="expression" dxfId="4" priority="15">
      <formula>D6=SMALL($D$6:$L$6,COUNTIF($D$6:$L$6,MIN($D$6:$L$6))+COUNTIF($D$6:$L$6,SMALL($D$6:$L$6,COUNTIF($D$6:$L$6,MIN($D$6:$L$6))+1))+COUNTIF($D$6:$L$6,SMALL($D$6:$L$6,COUNTIF($D$6:$L$6,MIN($D$6:$L$6))+COUNTIF($D$6:$L$6,SMALL($D$6:$L$6,COUNTIF($D$6:$L$6,MIN($D$6:$L$6))+1))+1))+COUNTIF($D$6:$L$6,SMALL($D$6:$L$6,COUNTIF($D$6:$L$6,MIN($D$6:$L$6))+COUNTIF($D$6:$L$6,SMALL($D$6:$L$6,COUNTIF($D$6:$L$6,MIN($D$6:$L$6))+1))+COUNTIF($D$6:$L$6,SMALL($D$6:$L$6,COUNTIF($D$6:$L$6,MIN($D$6:$L$6))+COUNTIF($D$6:$L$6,SMALL($D$6:$L$6,COUNTIF($D$6:$L$6,MIN($D$6:$L$6))+1))+1))+1))+1)</formula>
    </cfRule>
  </conditionalFormatting>
  <conditionalFormatting sqref="A1">
    <cfRule type="notContainsBlanks" dxfId="7" priority="16">
      <formula>LEN(TRIM(A1))&gt;0</formula>
    </cfRule>
  </conditionalFormatting>
  <drawing r:id="rId1"/>
</worksheet>
</file>